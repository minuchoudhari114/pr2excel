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82ed28f1cf605b9/Desktop/minaxi/"/>
    </mc:Choice>
  </mc:AlternateContent>
  <xr:revisionPtr revIDLastSave="3" documentId="8_{763CA100-8F94-4788-AA80-38A28E1C58A7}" xr6:coauthVersionLast="47" xr6:coauthVersionMax="47" xr10:uidLastSave="{D47313FB-6B78-484A-B75E-C93F566700D1}"/>
  <bookViews>
    <workbookView minimized="1" xWindow="5100" yWindow="3900" windowWidth="21600" windowHeight="11295" xr2:uid="{00000000-000D-0000-FFFF-FFFF00000000}"/>
  </bookViews>
  <sheets>
    <sheet name="Dataset" sheetId="2" r:id="rId1"/>
    <sheet name="Customer Ranking" sheetId="3" r:id="rId2"/>
    <sheet name="What-If Analysis" sheetId="4" r:id="rId3"/>
    <sheet name="Descriptive Statistics" sheetId="5" r:id="rId4"/>
    <sheet name="Regression" sheetId="6" r:id="rId5"/>
    <sheet name="Monthly Trends" sheetId="7" r:id="rId6"/>
    <sheet name="Region Product Analysis" sheetId="8" r:id="rId7"/>
    <sheet name="Executive Dashboard" sheetId="9" r:id="rId8"/>
    <sheet name="Sales Histogram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C10" i="10"/>
  <c r="C9" i="10"/>
  <c r="C8" i="10"/>
  <c r="C7" i="10"/>
  <c r="C6" i="10"/>
  <c r="C5" i="10"/>
  <c r="C4" i="10"/>
  <c r="C3" i="10"/>
  <c r="C2" i="10"/>
  <c r="C26" i="9"/>
  <c r="B26" i="9"/>
  <c r="C25" i="9"/>
  <c r="B25" i="9"/>
  <c r="C24" i="9"/>
  <c r="B24" i="9"/>
  <c r="C23" i="9"/>
  <c r="B23" i="9"/>
  <c r="C22" i="9"/>
  <c r="B22" i="9"/>
  <c r="C18" i="9"/>
  <c r="B18" i="9"/>
  <c r="C17" i="9"/>
  <c r="B17" i="9"/>
  <c r="C16" i="9"/>
  <c r="B16" i="9"/>
  <c r="C15" i="9"/>
  <c r="B15" i="9"/>
  <c r="C14" i="9"/>
  <c r="B14" i="9"/>
  <c r="B8" i="9"/>
  <c r="B7" i="9"/>
  <c r="B6" i="9"/>
  <c r="B5" i="9"/>
  <c r="B3" i="9"/>
  <c r="B2" i="9"/>
  <c r="I6" i="8"/>
  <c r="H6" i="8"/>
  <c r="F6" i="8"/>
  <c r="E6" i="8"/>
  <c r="D6" i="8"/>
  <c r="C6" i="8"/>
  <c r="B6" i="8"/>
  <c r="G6" i="8" s="1"/>
  <c r="I5" i="8"/>
  <c r="H5" i="8"/>
  <c r="F5" i="8"/>
  <c r="E5" i="8"/>
  <c r="D5" i="8"/>
  <c r="C5" i="8"/>
  <c r="B5" i="8"/>
  <c r="G5" i="8" s="1"/>
  <c r="I4" i="8"/>
  <c r="H4" i="8"/>
  <c r="F4" i="8"/>
  <c r="E4" i="8"/>
  <c r="D4" i="8"/>
  <c r="C4" i="8"/>
  <c r="B4" i="8"/>
  <c r="G4" i="8" s="1"/>
  <c r="I3" i="8"/>
  <c r="H3" i="8"/>
  <c r="F3" i="8"/>
  <c r="E3" i="8"/>
  <c r="D3" i="8"/>
  <c r="C3" i="8"/>
  <c r="B3" i="8"/>
  <c r="G3" i="8" s="1"/>
  <c r="I2" i="8"/>
  <c r="I7" i="8" s="1"/>
  <c r="H2" i="8"/>
  <c r="H7" i="8" s="1"/>
  <c r="F2" i="8"/>
  <c r="F7" i="8" s="1"/>
  <c r="E2" i="8"/>
  <c r="E7" i="8" s="1"/>
  <c r="D2" i="8"/>
  <c r="D7" i="8" s="1"/>
  <c r="C2" i="8"/>
  <c r="C7" i="8" s="1"/>
  <c r="B2" i="8"/>
  <c r="G14" i="7"/>
  <c r="G13" i="7"/>
  <c r="G12" i="7"/>
  <c r="G11" i="7"/>
  <c r="G10" i="7"/>
  <c r="G9" i="7"/>
  <c r="G8" i="7"/>
  <c r="G7" i="7"/>
  <c r="G6" i="7"/>
  <c r="G5" i="7"/>
  <c r="G4" i="7"/>
  <c r="G3" i="7"/>
  <c r="G2" i="7"/>
  <c r="E2" i="7"/>
  <c r="F2" i="7" s="1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2" i="5"/>
  <c r="D2" i="5"/>
  <c r="C2" i="5"/>
  <c r="B2" i="5"/>
  <c r="B3" i="4"/>
  <c r="B2" i="4"/>
  <c r="G31" i="3"/>
  <c r="D31" i="3"/>
  <c r="C31" i="3"/>
  <c r="B31" i="3"/>
  <c r="G30" i="3"/>
  <c r="D30" i="3"/>
  <c r="C30" i="3"/>
  <c r="B30" i="3"/>
  <c r="G29" i="3"/>
  <c r="D29" i="3"/>
  <c r="C29" i="3"/>
  <c r="B29" i="3"/>
  <c r="G28" i="3"/>
  <c r="D28" i="3"/>
  <c r="C28" i="3"/>
  <c r="B28" i="3"/>
  <c r="G27" i="3"/>
  <c r="D27" i="3"/>
  <c r="C27" i="3"/>
  <c r="B27" i="3"/>
  <c r="G26" i="3"/>
  <c r="D26" i="3"/>
  <c r="C26" i="3"/>
  <c r="B26" i="3"/>
  <c r="G25" i="3"/>
  <c r="D25" i="3"/>
  <c r="C25" i="3"/>
  <c r="B25" i="3"/>
  <c r="G24" i="3"/>
  <c r="D24" i="3"/>
  <c r="C24" i="3"/>
  <c r="B24" i="3"/>
  <c r="G23" i="3"/>
  <c r="D23" i="3"/>
  <c r="C23" i="3"/>
  <c r="B23" i="3"/>
  <c r="G22" i="3"/>
  <c r="D22" i="3"/>
  <c r="C22" i="3"/>
  <c r="B22" i="3"/>
  <c r="G21" i="3"/>
  <c r="D21" i="3"/>
  <c r="C21" i="3"/>
  <c r="B21" i="3"/>
  <c r="G20" i="3"/>
  <c r="D20" i="3"/>
  <c r="C20" i="3"/>
  <c r="B20" i="3"/>
  <c r="G19" i="3"/>
  <c r="D19" i="3"/>
  <c r="C19" i="3"/>
  <c r="B19" i="3"/>
  <c r="G18" i="3"/>
  <c r="D18" i="3"/>
  <c r="C18" i="3"/>
  <c r="B18" i="3"/>
  <c r="G17" i="3"/>
  <c r="D17" i="3"/>
  <c r="C17" i="3"/>
  <c r="B17" i="3"/>
  <c r="G16" i="3"/>
  <c r="D16" i="3"/>
  <c r="C16" i="3"/>
  <c r="B16" i="3"/>
  <c r="G15" i="3"/>
  <c r="D15" i="3"/>
  <c r="C15" i="3"/>
  <c r="B15" i="3"/>
  <c r="G14" i="3"/>
  <c r="D14" i="3"/>
  <c r="C14" i="3"/>
  <c r="B14" i="3"/>
  <c r="G13" i="3"/>
  <c r="D13" i="3"/>
  <c r="C13" i="3"/>
  <c r="B13" i="3"/>
  <c r="G12" i="3"/>
  <c r="D12" i="3"/>
  <c r="C12" i="3"/>
  <c r="B12" i="3"/>
  <c r="G11" i="3"/>
  <c r="D11" i="3"/>
  <c r="C11" i="3"/>
  <c r="B11" i="3"/>
  <c r="G10" i="3"/>
  <c r="D10" i="3"/>
  <c r="C10" i="3"/>
  <c r="B10" i="3"/>
  <c r="G9" i="3"/>
  <c r="D9" i="3"/>
  <c r="C9" i="3"/>
  <c r="B9" i="3"/>
  <c r="G8" i="3"/>
  <c r="D8" i="3"/>
  <c r="C8" i="3"/>
  <c r="B8" i="3"/>
  <c r="G7" i="3"/>
  <c r="D7" i="3"/>
  <c r="C7" i="3"/>
  <c r="B7" i="3"/>
  <c r="G6" i="3"/>
  <c r="D6" i="3"/>
  <c r="C6" i="3"/>
  <c r="B6" i="3"/>
  <c r="G5" i="3"/>
  <c r="D5" i="3"/>
  <c r="C5" i="3"/>
  <c r="B5" i="3"/>
  <c r="G4" i="3"/>
  <c r="D4" i="3"/>
  <c r="C4" i="3"/>
  <c r="B4" i="3"/>
  <c r="G3" i="3"/>
  <c r="D3" i="3"/>
  <c r="C3" i="3"/>
  <c r="B3" i="3"/>
  <c r="G2" i="3"/>
  <c r="D2" i="3"/>
  <c r="C2" i="3"/>
  <c r="B2" i="3"/>
  <c r="N201" i="2"/>
  <c r="M201" i="2"/>
  <c r="L201" i="2"/>
  <c r="K201" i="2"/>
  <c r="J201" i="2"/>
  <c r="N200" i="2"/>
  <c r="M200" i="2"/>
  <c r="L200" i="2"/>
  <c r="K200" i="2"/>
  <c r="J200" i="2"/>
  <c r="N199" i="2"/>
  <c r="M199" i="2"/>
  <c r="L199" i="2"/>
  <c r="K199" i="2"/>
  <c r="J199" i="2"/>
  <c r="N198" i="2"/>
  <c r="M198" i="2"/>
  <c r="L198" i="2"/>
  <c r="K198" i="2"/>
  <c r="J198" i="2"/>
  <c r="N197" i="2"/>
  <c r="M197" i="2"/>
  <c r="L197" i="2"/>
  <c r="K197" i="2"/>
  <c r="J197" i="2"/>
  <c r="N196" i="2"/>
  <c r="M196" i="2"/>
  <c r="L196" i="2"/>
  <c r="K196" i="2"/>
  <c r="J196" i="2"/>
  <c r="N195" i="2"/>
  <c r="M195" i="2"/>
  <c r="L195" i="2"/>
  <c r="K195" i="2"/>
  <c r="J195" i="2"/>
  <c r="N194" i="2"/>
  <c r="M194" i="2"/>
  <c r="L194" i="2"/>
  <c r="K194" i="2"/>
  <c r="J194" i="2"/>
  <c r="N193" i="2"/>
  <c r="M193" i="2"/>
  <c r="L193" i="2"/>
  <c r="K193" i="2"/>
  <c r="J193" i="2"/>
  <c r="N192" i="2"/>
  <c r="M192" i="2"/>
  <c r="L192" i="2"/>
  <c r="K192" i="2"/>
  <c r="J192" i="2"/>
  <c r="N191" i="2"/>
  <c r="M191" i="2"/>
  <c r="L191" i="2"/>
  <c r="K191" i="2"/>
  <c r="J191" i="2"/>
  <c r="N190" i="2"/>
  <c r="M190" i="2"/>
  <c r="L190" i="2"/>
  <c r="K190" i="2"/>
  <c r="J190" i="2"/>
  <c r="N189" i="2"/>
  <c r="M189" i="2"/>
  <c r="L189" i="2"/>
  <c r="K189" i="2"/>
  <c r="J189" i="2"/>
  <c r="N188" i="2"/>
  <c r="M188" i="2"/>
  <c r="L188" i="2"/>
  <c r="K188" i="2"/>
  <c r="J188" i="2"/>
  <c r="N187" i="2"/>
  <c r="M187" i="2"/>
  <c r="L187" i="2"/>
  <c r="K187" i="2"/>
  <c r="J187" i="2"/>
  <c r="N186" i="2"/>
  <c r="M186" i="2"/>
  <c r="L186" i="2"/>
  <c r="K186" i="2"/>
  <c r="J186" i="2"/>
  <c r="N185" i="2"/>
  <c r="M185" i="2"/>
  <c r="L185" i="2"/>
  <c r="K185" i="2"/>
  <c r="J185" i="2"/>
  <c r="N184" i="2"/>
  <c r="M184" i="2"/>
  <c r="L184" i="2"/>
  <c r="K184" i="2"/>
  <c r="J184" i="2"/>
  <c r="N183" i="2"/>
  <c r="M183" i="2"/>
  <c r="L183" i="2"/>
  <c r="K183" i="2"/>
  <c r="J183" i="2"/>
  <c r="N182" i="2"/>
  <c r="M182" i="2"/>
  <c r="L182" i="2"/>
  <c r="K182" i="2"/>
  <c r="J182" i="2"/>
  <c r="N181" i="2"/>
  <c r="M181" i="2"/>
  <c r="L181" i="2"/>
  <c r="K181" i="2"/>
  <c r="J181" i="2"/>
  <c r="N180" i="2"/>
  <c r="M180" i="2"/>
  <c r="L180" i="2"/>
  <c r="K180" i="2"/>
  <c r="J180" i="2"/>
  <c r="N179" i="2"/>
  <c r="M179" i="2"/>
  <c r="L179" i="2"/>
  <c r="K179" i="2"/>
  <c r="J179" i="2"/>
  <c r="N178" i="2"/>
  <c r="M178" i="2"/>
  <c r="L178" i="2"/>
  <c r="K178" i="2"/>
  <c r="J178" i="2"/>
  <c r="N177" i="2"/>
  <c r="M177" i="2"/>
  <c r="L177" i="2"/>
  <c r="K177" i="2"/>
  <c r="J177" i="2"/>
  <c r="N176" i="2"/>
  <c r="M176" i="2"/>
  <c r="L176" i="2"/>
  <c r="K176" i="2"/>
  <c r="J176" i="2"/>
  <c r="N175" i="2"/>
  <c r="M175" i="2"/>
  <c r="L175" i="2"/>
  <c r="K175" i="2"/>
  <c r="J175" i="2"/>
  <c r="N174" i="2"/>
  <c r="M174" i="2"/>
  <c r="L174" i="2"/>
  <c r="K174" i="2"/>
  <c r="J174" i="2"/>
  <c r="N173" i="2"/>
  <c r="M173" i="2"/>
  <c r="L173" i="2"/>
  <c r="K173" i="2"/>
  <c r="J173" i="2"/>
  <c r="N172" i="2"/>
  <c r="M172" i="2"/>
  <c r="L172" i="2"/>
  <c r="K172" i="2"/>
  <c r="J172" i="2"/>
  <c r="N171" i="2"/>
  <c r="M171" i="2"/>
  <c r="L171" i="2"/>
  <c r="K171" i="2"/>
  <c r="J171" i="2"/>
  <c r="N170" i="2"/>
  <c r="M170" i="2"/>
  <c r="L170" i="2"/>
  <c r="K170" i="2"/>
  <c r="J170" i="2"/>
  <c r="N169" i="2"/>
  <c r="M169" i="2"/>
  <c r="L169" i="2"/>
  <c r="K169" i="2"/>
  <c r="J169" i="2"/>
  <c r="N168" i="2"/>
  <c r="M168" i="2"/>
  <c r="L168" i="2"/>
  <c r="K168" i="2"/>
  <c r="J168" i="2"/>
  <c r="N167" i="2"/>
  <c r="M167" i="2"/>
  <c r="L167" i="2"/>
  <c r="K167" i="2"/>
  <c r="J167" i="2"/>
  <c r="N166" i="2"/>
  <c r="M166" i="2"/>
  <c r="L166" i="2"/>
  <c r="K166" i="2"/>
  <c r="J166" i="2"/>
  <c r="N165" i="2"/>
  <c r="M165" i="2"/>
  <c r="L165" i="2"/>
  <c r="K165" i="2"/>
  <c r="J165" i="2"/>
  <c r="N164" i="2"/>
  <c r="M164" i="2"/>
  <c r="L164" i="2"/>
  <c r="K164" i="2"/>
  <c r="J164" i="2"/>
  <c r="N163" i="2"/>
  <c r="M163" i="2"/>
  <c r="L163" i="2"/>
  <c r="K163" i="2"/>
  <c r="J163" i="2"/>
  <c r="N162" i="2"/>
  <c r="M162" i="2"/>
  <c r="L162" i="2"/>
  <c r="K162" i="2"/>
  <c r="J162" i="2"/>
  <c r="N161" i="2"/>
  <c r="M161" i="2"/>
  <c r="L161" i="2"/>
  <c r="K161" i="2"/>
  <c r="J161" i="2"/>
  <c r="N160" i="2"/>
  <c r="M160" i="2"/>
  <c r="L160" i="2"/>
  <c r="K160" i="2"/>
  <c r="J160" i="2"/>
  <c r="N159" i="2"/>
  <c r="M159" i="2"/>
  <c r="L159" i="2"/>
  <c r="K159" i="2"/>
  <c r="J159" i="2"/>
  <c r="N158" i="2"/>
  <c r="M158" i="2"/>
  <c r="L158" i="2"/>
  <c r="K158" i="2"/>
  <c r="J158" i="2"/>
  <c r="N157" i="2"/>
  <c r="M157" i="2"/>
  <c r="L157" i="2"/>
  <c r="K157" i="2"/>
  <c r="J157" i="2"/>
  <c r="N156" i="2"/>
  <c r="M156" i="2"/>
  <c r="L156" i="2"/>
  <c r="K156" i="2"/>
  <c r="J156" i="2"/>
  <c r="N155" i="2"/>
  <c r="M155" i="2"/>
  <c r="L155" i="2"/>
  <c r="K155" i="2"/>
  <c r="J155" i="2"/>
  <c r="N154" i="2"/>
  <c r="M154" i="2"/>
  <c r="L154" i="2"/>
  <c r="K154" i="2"/>
  <c r="J154" i="2"/>
  <c r="N153" i="2"/>
  <c r="M153" i="2"/>
  <c r="L153" i="2"/>
  <c r="K153" i="2"/>
  <c r="J153" i="2"/>
  <c r="N152" i="2"/>
  <c r="M152" i="2"/>
  <c r="L152" i="2"/>
  <c r="K152" i="2"/>
  <c r="J152" i="2"/>
  <c r="N151" i="2"/>
  <c r="M151" i="2"/>
  <c r="L151" i="2"/>
  <c r="K151" i="2"/>
  <c r="J151" i="2"/>
  <c r="N150" i="2"/>
  <c r="M150" i="2"/>
  <c r="L150" i="2"/>
  <c r="K150" i="2"/>
  <c r="J150" i="2"/>
  <c r="N149" i="2"/>
  <c r="M149" i="2"/>
  <c r="L149" i="2"/>
  <c r="K149" i="2"/>
  <c r="J149" i="2"/>
  <c r="N148" i="2"/>
  <c r="M148" i="2"/>
  <c r="L148" i="2"/>
  <c r="K148" i="2"/>
  <c r="J148" i="2"/>
  <c r="N147" i="2"/>
  <c r="M147" i="2"/>
  <c r="L147" i="2"/>
  <c r="K147" i="2"/>
  <c r="J147" i="2"/>
  <c r="N146" i="2"/>
  <c r="M146" i="2"/>
  <c r="L146" i="2"/>
  <c r="K146" i="2"/>
  <c r="J146" i="2"/>
  <c r="N145" i="2"/>
  <c r="M145" i="2"/>
  <c r="L145" i="2"/>
  <c r="K145" i="2"/>
  <c r="J145" i="2"/>
  <c r="N144" i="2"/>
  <c r="M144" i="2"/>
  <c r="L144" i="2"/>
  <c r="K144" i="2"/>
  <c r="J144" i="2"/>
  <c r="N143" i="2"/>
  <c r="M143" i="2"/>
  <c r="L143" i="2"/>
  <c r="K143" i="2"/>
  <c r="J143" i="2"/>
  <c r="N142" i="2"/>
  <c r="M142" i="2"/>
  <c r="L142" i="2"/>
  <c r="K142" i="2"/>
  <c r="J142" i="2"/>
  <c r="N141" i="2"/>
  <c r="M141" i="2"/>
  <c r="L141" i="2"/>
  <c r="K141" i="2"/>
  <c r="J141" i="2"/>
  <c r="N140" i="2"/>
  <c r="M140" i="2"/>
  <c r="L140" i="2"/>
  <c r="K140" i="2"/>
  <c r="J140" i="2"/>
  <c r="N139" i="2"/>
  <c r="M139" i="2"/>
  <c r="L139" i="2"/>
  <c r="K139" i="2"/>
  <c r="J139" i="2"/>
  <c r="N138" i="2"/>
  <c r="M138" i="2"/>
  <c r="L138" i="2"/>
  <c r="K138" i="2"/>
  <c r="J138" i="2"/>
  <c r="N137" i="2"/>
  <c r="M137" i="2"/>
  <c r="L137" i="2"/>
  <c r="K137" i="2"/>
  <c r="J137" i="2"/>
  <c r="N136" i="2"/>
  <c r="M136" i="2"/>
  <c r="L136" i="2"/>
  <c r="K136" i="2"/>
  <c r="J136" i="2"/>
  <c r="N135" i="2"/>
  <c r="M135" i="2"/>
  <c r="L135" i="2"/>
  <c r="K135" i="2"/>
  <c r="J135" i="2"/>
  <c r="N134" i="2"/>
  <c r="M134" i="2"/>
  <c r="L134" i="2"/>
  <c r="K134" i="2"/>
  <c r="J134" i="2"/>
  <c r="N133" i="2"/>
  <c r="M133" i="2"/>
  <c r="L133" i="2"/>
  <c r="K133" i="2"/>
  <c r="J133" i="2"/>
  <c r="N132" i="2"/>
  <c r="M132" i="2"/>
  <c r="L132" i="2"/>
  <c r="K132" i="2"/>
  <c r="J132" i="2"/>
  <c r="N131" i="2"/>
  <c r="M131" i="2"/>
  <c r="L131" i="2"/>
  <c r="K131" i="2"/>
  <c r="J131" i="2"/>
  <c r="N130" i="2"/>
  <c r="M130" i="2"/>
  <c r="L130" i="2"/>
  <c r="K130" i="2"/>
  <c r="J130" i="2"/>
  <c r="N129" i="2"/>
  <c r="M129" i="2"/>
  <c r="L129" i="2"/>
  <c r="K129" i="2"/>
  <c r="J129" i="2"/>
  <c r="N128" i="2"/>
  <c r="M128" i="2"/>
  <c r="L128" i="2"/>
  <c r="K128" i="2"/>
  <c r="J128" i="2"/>
  <c r="N127" i="2"/>
  <c r="M127" i="2"/>
  <c r="L127" i="2"/>
  <c r="K127" i="2"/>
  <c r="J127" i="2"/>
  <c r="N126" i="2"/>
  <c r="M126" i="2"/>
  <c r="L126" i="2"/>
  <c r="K126" i="2"/>
  <c r="J126" i="2"/>
  <c r="N125" i="2"/>
  <c r="M125" i="2"/>
  <c r="L125" i="2"/>
  <c r="K125" i="2"/>
  <c r="J125" i="2"/>
  <c r="N124" i="2"/>
  <c r="M124" i="2"/>
  <c r="L124" i="2"/>
  <c r="K124" i="2"/>
  <c r="J124" i="2"/>
  <c r="N123" i="2"/>
  <c r="M123" i="2"/>
  <c r="L123" i="2"/>
  <c r="K123" i="2"/>
  <c r="J123" i="2"/>
  <c r="N122" i="2"/>
  <c r="M122" i="2"/>
  <c r="L122" i="2"/>
  <c r="K122" i="2"/>
  <c r="J122" i="2"/>
  <c r="N121" i="2"/>
  <c r="M121" i="2"/>
  <c r="L121" i="2"/>
  <c r="K121" i="2"/>
  <c r="J121" i="2"/>
  <c r="N120" i="2"/>
  <c r="M120" i="2"/>
  <c r="L120" i="2"/>
  <c r="K120" i="2"/>
  <c r="J120" i="2"/>
  <c r="N119" i="2"/>
  <c r="M119" i="2"/>
  <c r="L119" i="2"/>
  <c r="K119" i="2"/>
  <c r="J119" i="2"/>
  <c r="N118" i="2"/>
  <c r="M118" i="2"/>
  <c r="L118" i="2"/>
  <c r="K118" i="2"/>
  <c r="J118" i="2"/>
  <c r="N117" i="2"/>
  <c r="M117" i="2"/>
  <c r="L117" i="2"/>
  <c r="K117" i="2"/>
  <c r="J117" i="2"/>
  <c r="N116" i="2"/>
  <c r="M116" i="2"/>
  <c r="L116" i="2"/>
  <c r="K116" i="2"/>
  <c r="J116" i="2"/>
  <c r="N115" i="2"/>
  <c r="M115" i="2"/>
  <c r="L115" i="2"/>
  <c r="K115" i="2"/>
  <c r="J115" i="2"/>
  <c r="N114" i="2"/>
  <c r="M114" i="2"/>
  <c r="L114" i="2"/>
  <c r="K114" i="2"/>
  <c r="J114" i="2"/>
  <c r="N113" i="2"/>
  <c r="M113" i="2"/>
  <c r="L113" i="2"/>
  <c r="K113" i="2"/>
  <c r="J113" i="2"/>
  <c r="N112" i="2"/>
  <c r="M112" i="2"/>
  <c r="L112" i="2"/>
  <c r="K112" i="2"/>
  <c r="J112" i="2"/>
  <c r="N111" i="2"/>
  <c r="M111" i="2"/>
  <c r="L111" i="2"/>
  <c r="K111" i="2"/>
  <c r="J111" i="2"/>
  <c r="N110" i="2"/>
  <c r="M110" i="2"/>
  <c r="L110" i="2"/>
  <c r="K110" i="2"/>
  <c r="J110" i="2"/>
  <c r="N109" i="2"/>
  <c r="M109" i="2"/>
  <c r="L109" i="2"/>
  <c r="K109" i="2"/>
  <c r="J109" i="2"/>
  <c r="N108" i="2"/>
  <c r="M108" i="2"/>
  <c r="L108" i="2"/>
  <c r="K108" i="2"/>
  <c r="J108" i="2"/>
  <c r="N107" i="2"/>
  <c r="M107" i="2"/>
  <c r="L107" i="2"/>
  <c r="K107" i="2"/>
  <c r="J107" i="2"/>
  <c r="N106" i="2"/>
  <c r="M106" i="2"/>
  <c r="L106" i="2"/>
  <c r="K106" i="2"/>
  <c r="J106" i="2"/>
  <c r="N105" i="2"/>
  <c r="M105" i="2"/>
  <c r="L105" i="2"/>
  <c r="K105" i="2"/>
  <c r="J105" i="2"/>
  <c r="N104" i="2"/>
  <c r="M104" i="2"/>
  <c r="L104" i="2"/>
  <c r="K104" i="2"/>
  <c r="J104" i="2"/>
  <c r="N103" i="2"/>
  <c r="M103" i="2"/>
  <c r="L103" i="2"/>
  <c r="K103" i="2"/>
  <c r="J103" i="2"/>
  <c r="N102" i="2"/>
  <c r="M102" i="2"/>
  <c r="L102" i="2"/>
  <c r="K102" i="2"/>
  <c r="J102" i="2"/>
  <c r="N101" i="2"/>
  <c r="M101" i="2"/>
  <c r="L101" i="2"/>
  <c r="K101" i="2"/>
  <c r="J101" i="2"/>
  <c r="N100" i="2"/>
  <c r="M100" i="2"/>
  <c r="L100" i="2"/>
  <c r="K100" i="2"/>
  <c r="J100" i="2"/>
  <c r="N99" i="2"/>
  <c r="M99" i="2"/>
  <c r="L99" i="2"/>
  <c r="K99" i="2"/>
  <c r="J99" i="2"/>
  <c r="N98" i="2"/>
  <c r="M98" i="2"/>
  <c r="L98" i="2"/>
  <c r="K98" i="2"/>
  <c r="J98" i="2"/>
  <c r="N97" i="2"/>
  <c r="M97" i="2"/>
  <c r="L97" i="2"/>
  <c r="K97" i="2"/>
  <c r="J97" i="2"/>
  <c r="N96" i="2"/>
  <c r="M96" i="2"/>
  <c r="L96" i="2"/>
  <c r="K96" i="2"/>
  <c r="J96" i="2"/>
  <c r="N95" i="2"/>
  <c r="M95" i="2"/>
  <c r="L95" i="2"/>
  <c r="K95" i="2"/>
  <c r="J95" i="2"/>
  <c r="N94" i="2"/>
  <c r="M94" i="2"/>
  <c r="L94" i="2"/>
  <c r="K94" i="2"/>
  <c r="J94" i="2"/>
  <c r="N93" i="2"/>
  <c r="M93" i="2"/>
  <c r="L93" i="2"/>
  <c r="K93" i="2"/>
  <c r="J93" i="2"/>
  <c r="N92" i="2"/>
  <c r="M92" i="2"/>
  <c r="L92" i="2"/>
  <c r="K92" i="2"/>
  <c r="J92" i="2"/>
  <c r="N91" i="2"/>
  <c r="M91" i="2"/>
  <c r="L91" i="2"/>
  <c r="K91" i="2"/>
  <c r="J91" i="2"/>
  <c r="N90" i="2"/>
  <c r="M90" i="2"/>
  <c r="L90" i="2"/>
  <c r="K90" i="2"/>
  <c r="J90" i="2"/>
  <c r="N89" i="2"/>
  <c r="M89" i="2"/>
  <c r="L89" i="2"/>
  <c r="K89" i="2"/>
  <c r="J89" i="2"/>
  <c r="N88" i="2"/>
  <c r="M88" i="2"/>
  <c r="L88" i="2"/>
  <c r="K88" i="2"/>
  <c r="J88" i="2"/>
  <c r="N87" i="2"/>
  <c r="M87" i="2"/>
  <c r="L87" i="2"/>
  <c r="K87" i="2"/>
  <c r="J87" i="2"/>
  <c r="N86" i="2"/>
  <c r="M86" i="2"/>
  <c r="L86" i="2"/>
  <c r="K86" i="2"/>
  <c r="J86" i="2"/>
  <c r="N85" i="2"/>
  <c r="M85" i="2"/>
  <c r="L85" i="2"/>
  <c r="K85" i="2"/>
  <c r="J85" i="2"/>
  <c r="N84" i="2"/>
  <c r="M84" i="2"/>
  <c r="L84" i="2"/>
  <c r="K84" i="2"/>
  <c r="J84" i="2"/>
  <c r="N83" i="2"/>
  <c r="M83" i="2"/>
  <c r="L83" i="2"/>
  <c r="K83" i="2"/>
  <c r="J83" i="2"/>
  <c r="N82" i="2"/>
  <c r="M82" i="2"/>
  <c r="L82" i="2"/>
  <c r="K82" i="2"/>
  <c r="J82" i="2"/>
  <c r="N81" i="2"/>
  <c r="M81" i="2"/>
  <c r="L81" i="2"/>
  <c r="K81" i="2"/>
  <c r="J81" i="2"/>
  <c r="N80" i="2"/>
  <c r="M80" i="2"/>
  <c r="L80" i="2"/>
  <c r="K80" i="2"/>
  <c r="J80" i="2"/>
  <c r="N79" i="2"/>
  <c r="M79" i="2"/>
  <c r="L79" i="2"/>
  <c r="K79" i="2"/>
  <c r="J79" i="2"/>
  <c r="N78" i="2"/>
  <c r="M78" i="2"/>
  <c r="L78" i="2"/>
  <c r="K78" i="2"/>
  <c r="J78" i="2"/>
  <c r="N77" i="2"/>
  <c r="M77" i="2"/>
  <c r="L77" i="2"/>
  <c r="K77" i="2"/>
  <c r="J77" i="2"/>
  <c r="N76" i="2"/>
  <c r="M76" i="2"/>
  <c r="L76" i="2"/>
  <c r="K76" i="2"/>
  <c r="J76" i="2"/>
  <c r="N75" i="2"/>
  <c r="M75" i="2"/>
  <c r="L75" i="2"/>
  <c r="K75" i="2"/>
  <c r="J75" i="2"/>
  <c r="N74" i="2"/>
  <c r="M74" i="2"/>
  <c r="L74" i="2"/>
  <c r="K74" i="2"/>
  <c r="J74" i="2"/>
  <c r="N73" i="2"/>
  <c r="M73" i="2"/>
  <c r="L73" i="2"/>
  <c r="K73" i="2"/>
  <c r="J73" i="2"/>
  <c r="N72" i="2"/>
  <c r="M72" i="2"/>
  <c r="L72" i="2"/>
  <c r="K72" i="2"/>
  <c r="J72" i="2"/>
  <c r="N71" i="2"/>
  <c r="M71" i="2"/>
  <c r="L71" i="2"/>
  <c r="K71" i="2"/>
  <c r="J71" i="2"/>
  <c r="N70" i="2"/>
  <c r="M70" i="2"/>
  <c r="L70" i="2"/>
  <c r="K70" i="2"/>
  <c r="J70" i="2"/>
  <c r="N69" i="2"/>
  <c r="M69" i="2"/>
  <c r="L69" i="2"/>
  <c r="K69" i="2"/>
  <c r="J69" i="2"/>
  <c r="N68" i="2"/>
  <c r="M68" i="2"/>
  <c r="L68" i="2"/>
  <c r="K68" i="2"/>
  <c r="J68" i="2"/>
  <c r="N67" i="2"/>
  <c r="M67" i="2"/>
  <c r="L67" i="2"/>
  <c r="K67" i="2"/>
  <c r="J67" i="2"/>
  <c r="N66" i="2"/>
  <c r="M66" i="2"/>
  <c r="L66" i="2"/>
  <c r="K66" i="2"/>
  <c r="J66" i="2"/>
  <c r="N65" i="2"/>
  <c r="M65" i="2"/>
  <c r="L65" i="2"/>
  <c r="K65" i="2"/>
  <c r="J65" i="2"/>
  <c r="N64" i="2"/>
  <c r="M64" i="2"/>
  <c r="L64" i="2"/>
  <c r="K64" i="2"/>
  <c r="J64" i="2"/>
  <c r="N63" i="2"/>
  <c r="M63" i="2"/>
  <c r="L63" i="2"/>
  <c r="K63" i="2"/>
  <c r="J63" i="2"/>
  <c r="N62" i="2"/>
  <c r="M62" i="2"/>
  <c r="L62" i="2"/>
  <c r="K62" i="2"/>
  <c r="J62" i="2"/>
  <c r="N61" i="2"/>
  <c r="M61" i="2"/>
  <c r="L61" i="2"/>
  <c r="K61" i="2"/>
  <c r="J61" i="2"/>
  <c r="N60" i="2"/>
  <c r="M60" i="2"/>
  <c r="L60" i="2"/>
  <c r="K60" i="2"/>
  <c r="J60" i="2"/>
  <c r="N59" i="2"/>
  <c r="M59" i="2"/>
  <c r="L59" i="2"/>
  <c r="K59" i="2"/>
  <c r="J59" i="2"/>
  <c r="N58" i="2"/>
  <c r="M58" i="2"/>
  <c r="L58" i="2"/>
  <c r="K58" i="2"/>
  <c r="J58" i="2"/>
  <c r="N57" i="2"/>
  <c r="M57" i="2"/>
  <c r="L57" i="2"/>
  <c r="K57" i="2"/>
  <c r="J57" i="2"/>
  <c r="N56" i="2"/>
  <c r="M56" i="2"/>
  <c r="L56" i="2"/>
  <c r="K56" i="2"/>
  <c r="J56" i="2"/>
  <c r="N55" i="2"/>
  <c r="M55" i="2"/>
  <c r="L55" i="2"/>
  <c r="K55" i="2"/>
  <c r="J55" i="2"/>
  <c r="N54" i="2"/>
  <c r="M54" i="2"/>
  <c r="L54" i="2"/>
  <c r="K54" i="2"/>
  <c r="J54" i="2"/>
  <c r="N53" i="2"/>
  <c r="M53" i="2"/>
  <c r="L53" i="2"/>
  <c r="K53" i="2"/>
  <c r="J53" i="2"/>
  <c r="N52" i="2"/>
  <c r="M52" i="2"/>
  <c r="L52" i="2"/>
  <c r="K52" i="2"/>
  <c r="J52" i="2"/>
  <c r="N51" i="2"/>
  <c r="M51" i="2"/>
  <c r="L51" i="2"/>
  <c r="K51" i="2"/>
  <c r="J51" i="2"/>
  <c r="N50" i="2"/>
  <c r="M50" i="2"/>
  <c r="L50" i="2"/>
  <c r="K50" i="2"/>
  <c r="J50" i="2"/>
  <c r="N49" i="2"/>
  <c r="M49" i="2"/>
  <c r="L49" i="2"/>
  <c r="K49" i="2"/>
  <c r="J49" i="2"/>
  <c r="N48" i="2"/>
  <c r="M48" i="2"/>
  <c r="L48" i="2"/>
  <c r="K48" i="2"/>
  <c r="J48" i="2"/>
  <c r="N47" i="2"/>
  <c r="M47" i="2"/>
  <c r="L47" i="2"/>
  <c r="K47" i="2"/>
  <c r="J47" i="2"/>
  <c r="N46" i="2"/>
  <c r="M46" i="2"/>
  <c r="L46" i="2"/>
  <c r="K46" i="2"/>
  <c r="J46" i="2"/>
  <c r="N45" i="2"/>
  <c r="M45" i="2"/>
  <c r="L45" i="2"/>
  <c r="K45" i="2"/>
  <c r="J45" i="2"/>
  <c r="N44" i="2"/>
  <c r="M44" i="2"/>
  <c r="L44" i="2"/>
  <c r="K44" i="2"/>
  <c r="J44" i="2"/>
  <c r="N43" i="2"/>
  <c r="M43" i="2"/>
  <c r="L43" i="2"/>
  <c r="K43" i="2"/>
  <c r="J43" i="2"/>
  <c r="N42" i="2"/>
  <c r="M42" i="2"/>
  <c r="L42" i="2"/>
  <c r="K42" i="2"/>
  <c r="J42" i="2"/>
  <c r="N41" i="2"/>
  <c r="M41" i="2"/>
  <c r="L41" i="2"/>
  <c r="K41" i="2"/>
  <c r="J41" i="2"/>
  <c r="N40" i="2"/>
  <c r="M40" i="2"/>
  <c r="L40" i="2"/>
  <c r="K40" i="2"/>
  <c r="J40" i="2"/>
  <c r="N39" i="2"/>
  <c r="M39" i="2"/>
  <c r="L39" i="2"/>
  <c r="K39" i="2"/>
  <c r="J39" i="2"/>
  <c r="N38" i="2"/>
  <c r="M38" i="2"/>
  <c r="L38" i="2"/>
  <c r="K38" i="2"/>
  <c r="J38" i="2"/>
  <c r="N37" i="2"/>
  <c r="M37" i="2"/>
  <c r="L37" i="2"/>
  <c r="K37" i="2"/>
  <c r="J37" i="2"/>
  <c r="N36" i="2"/>
  <c r="M36" i="2"/>
  <c r="L36" i="2"/>
  <c r="K36" i="2"/>
  <c r="J36" i="2"/>
  <c r="N35" i="2"/>
  <c r="M35" i="2"/>
  <c r="L35" i="2"/>
  <c r="K35" i="2"/>
  <c r="J35" i="2"/>
  <c r="N34" i="2"/>
  <c r="M34" i="2"/>
  <c r="L34" i="2"/>
  <c r="K34" i="2"/>
  <c r="J34" i="2"/>
  <c r="N33" i="2"/>
  <c r="M33" i="2"/>
  <c r="L33" i="2"/>
  <c r="K33" i="2"/>
  <c r="J33" i="2"/>
  <c r="N32" i="2"/>
  <c r="M32" i="2"/>
  <c r="L32" i="2"/>
  <c r="K32" i="2"/>
  <c r="J32" i="2"/>
  <c r="N31" i="2"/>
  <c r="M31" i="2"/>
  <c r="L31" i="2"/>
  <c r="K31" i="2"/>
  <c r="J31" i="2"/>
  <c r="N30" i="2"/>
  <c r="M30" i="2"/>
  <c r="L30" i="2"/>
  <c r="K30" i="2"/>
  <c r="J30" i="2"/>
  <c r="N29" i="2"/>
  <c r="M29" i="2"/>
  <c r="L29" i="2"/>
  <c r="K29" i="2"/>
  <c r="J29" i="2"/>
  <c r="N28" i="2"/>
  <c r="M28" i="2"/>
  <c r="L28" i="2"/>
  <c r="K28" i="2"/>
  <c r="J28" i="2"/>
  <c r="N27" i="2"/>
  <c r="M27" i="2"/>
  <c r="L27" i="2"/>
  <c r="K27" i="2"/>
  <c r="J27" i="2"/>
  <c r="N26" i="2"/>
  <c r="M26" i="2"/>
  <c r="L26" i="2"/>
  <c r="K26" i="2"/>
  <c r="J26" i="2"/>
  <c r="N25" i="2"/>
  <c r="M25" i="2"/>
  <c r="L25" i="2"/>
  <c r="K25" i="2"/>
  <c r="J25" i="2"/>
  <c r="N24" i="2"/>
  <c r="M24" i="2"/>
  <c r="L24" i="2"/>
  <c r="K24" i="2"/>
  <c r="J24" i="2"/>
  <c r="N23" i="2"/>
  <c r="M23" i="2"/>
  <c r="L23" i="2"/>
  <c r="K23" i="2"/>
  <c r="J23" i="2"/>
  <c r="N22" i="2"/>
  <c r="M22" i="2"/>
  <c r="L22" i="2"/>
  <c r="K22" i="2"/>
  <c r="J22" i="2"/>
  <c r="N21" i="2"/>
  <c r="M21" i="2"/>
  <c r="L21" i="2"/>
  <c r="K21" i="2"/>
  <c r="J21" i="2"/>
  <c r="N20" i="2"/>
  <c r="M20" i="2"/>
  <c r="L20" i="2"/>
  <c r="K20" i="2"/>
  <c r="J20" i="2"/>
  <c r="N19" i="2"/>
  <c r="M19" i="2"/>
  <c r="L19" i="2"/>
  <c r="K19" i="2"/>
  <c r="J19" i="2"/>
  <c r="N18" i="2"/>
  <c r="M18" i="2"/>
  <c r="L18" i="2"/>
  <c r="K18" i="2"/>
  <c r="J18" i="2"/>
  <c r="N17" i="2"/>
  <c r="M17" i="2"/>
  <c r="L17" i="2"/>
  <c r="K17" i="2"/>
  <c r="J17" i="2"/>
  <c r="N16" i="2"/>
  <c r="M16" i="2"/>
  <c r="L16" i="2"/>
  <c r="K16" i="2"/>
  <c r="J16" i="2"/>
  <c r="N15" i="2"/>
  <c r="M15" i="2"/>
  <c r="L15" i="2"/>
  <c r="K15" i="2"/>
  <c r="J15" i="2"/>
  <c r="N14" i="2"/>
  <c r="M14" i="2"/>
  <c r="L14" i="2"/>
  <c r="K14" i="2"/>
  <c r="J14" i="2"/>
  <c r="N13" i="2"/>
  <c r="M13" i="2"/>
  <c r="L13" i="2"/>
  <c r="K13" i="2"/>
  <c r="J13" i="2"/>
  <c r="N12" i="2"/>
  <c r="M12" i="2"/>
  <c r="L12" i="2"/>
  <c r="K12" i="2"/>
  <c r="J12" i="2"/>
  <c r="N11" i="2"/>
  <c r="M11" i="2"/>
  <c r="L11" i="2"/>
  <c r="K11" i="2"/>
  <c r="J11" i="2"/>
  <c r="N10" i="2"/>
  <c r="M10" i="2"/>
  <c r="L10" i="2"/>
  <c r="K10" i="2"/>
  <c r="J10" i="2"/>
  <c r="N9" i="2"/>
  <c r="M9" i="2"/>
  <c r="L9" i="2"/>
  <c r="K9" i="2"/>
  <c r="J9" i="2"/>
  <c r="N8" i="2"/>
  <c r="M8" i="2"/>
  <c r="L8" i="2"/>
  <c r="K8" i="2"/>
  <c r="J8" i="2"/>
  <c r="N7" i="2"/>
  <c r="M7" i="2"/>
  <c r="L7" i="2"/>
  <c r="K7" i="2"/>
  <c r="J7" i="2"/>
  <c r="N6" i="2"/>
  <c r="M6" i="2"/>
  <c r="L6" i="2"/>
  <c r="K6" i="2"/>
  <c r="J6" i="2"/>
  <c r="N5" i="2"/>
  <c r="M5" i="2"/>
  <c r="L5" i="2"/>
  <c r="K5" i="2"/>
  <c r="J5" i="2"/>
  <c r="N4" i="2"/>
  <c r="M4" i="2"/>
  <c r="L4" i="2"/>
  <c r="K4" i="2"/>
  <c r="J4" i="2"/>
  <c r="N3" i="2"/>
  <c r="M3" i="2"/>
  <c r="L3" i="2"/>
  <c r="K3" i="2"/>
  <c r="J3" i="2"/>
  <c r="N2" i="2"/>
  <c r="M2" i="2"/>
  <c r="L2" i="2"/>
  <c r="K2" i="2"/>
  <c r="J2" i="2"/>
  <c r="E2" i="3" l="1"/>
  <c r="F2" i="3" s="1"/>
  <c r="B43" i="9"/>
  <c r="B4" i="9"/>
  <c r="H31" i="3"/>
  <c r="H30" i="3"/>
  <c r="E30" i="3"/>
  <c r="F30" i="3" s="1"/>
  <c r="E29" i="3"/>
  <c r="F29" i="3" s="1"/>
  <c r="H27" i="3"/>
  <c r="E27" i="3"/>
  <c r="F27" i="3" s="1"/>
  <c r="H25" i="3"/>
  <c r="E25" i="3"/>
  <c r="F25" i="3" s="1"/>
  <c r="H23" i="3"/>
  <c r="E23" i="3"/>
  <c r="F23" i="3" s="1"/>
  <c r="E22" i="3"/>
  <c r="F22" i="3" s="1"/>
  <c r="H20" i="3"/>
  <c r="E20" i="3"/>
  <c r="F20" i="3" s="1"/>
  <c r="H18" i="3"/>
  <c r="E18" i="3"/>
  <c r="F18" i="3" s="1"/>
  <c r="H16" i="3"/>
  <c r="E16" i="3"/>
  <c r="F16" i="3" s="1"/>
  <c r="H14" i="3"/>
  <c r="E14" i="3"/>
  <c r="F14" i="3" s="1"/>
  <c r="E13" i="3"/>
  <c r="F13" i="3" s="1"/>
  <c r="H11" i="3"/>
  <c r="E11" i="3"/>
  <c r="F11" i="3" s="1"/>
  <c r="H9" i="3"/>
  <c r="E9" i="3"/>
  <c r="F9" i="3" s="1"/>
  <c r="H7" i="3"/>
  <c r="E7" i="3"/>
  <c r="F7" i="3" s="1"/>
  <c r="H5" i="3"/>
  <c r="E5" i="3"/>
  <c r="F5" i="3" s="1"/>
  <c r="H3" i="3"/>
  <c r="E3" i="3"/>
  <c r="F3" i="3" s="1"/>
  <c r="B5" i="4"/>
  <c r="B6" i="4" s="1"/>
  <c r="B7" i="4" s="1"/>
  <c r="E31" i="3"/>
  <c r="F31" i="3" s="1"/>
  <c r="H29" i="3"/>
  <c r="H28" i="3"/>
  <c r="E28" i="3"/>
  <c r="F28" i="3" s="1"/>
  <c r="H26" i="3"/>
  <c r="E26" i="3"/>
  <c r="F26" i="3" s="1"/>
  <c r="H24" i="3"/>
  <c r="E24" i="3"/>
  <c r="F24" i="3" s="1"/>
  <c r="H22" i="3"/>
  <c r="H21" i="3"/>
  <c r="E21" i="3"/>
  <c r="F21" i="3" s="1"/>
  <c r="H19" i="3"/>
  <c r="E19" i="3"/>
  <c r="F19" i="3" s="1"/>
  <c r="H17" i="3"/>
  <c r="E17" i="3"/>
  <c r="F17" i="3" s="1"/>
  <c r="H15" i="3"/>
  <c r="E15" i="3"/>
  <c r="F15" i="3" s="1"/>
  <c r="H13" i="3"/>
  <c r="H12" i="3"/>
  <c r="E12" i="3"/>
  <c r="F12" i="3" s="1"/>
  <c r="H10" i="3"/>
  <c r="E10" i="3"/>
  <c r="F10" i="3" s="1"/>
  <c r="H8" i="3"/>
  <c r="E8" i="3"/>
  <c r="F8" i="3" s="1"/>
  <c r="H6" i="3"/>
  <c r="E6" i="3"/>
  <c r="F6" i="3" s="1"/>
  <c r="H4" i="3"/>
  <c r="E4" i="3"/>
  <c r="F4" i="3" s="1"/>
  <c r="H2" i="3"/>
  <c r="G2" i="8"/>
  <c r="B7" i="8"/>
  <c r="B10" i="9" s="1"/>
  <c r="B16" i="4"/>
  <c r="C16" i="4" s="1"/>
  <c r="B12" i="4"/>
  <c r="C12" i="4" s="1"/>
  <c r="B13" i="4"/>
  <c r="C13" i="4" s="1"/>
  <c r="B15" i="4"/>
  <c r="C15" i="4" s="1"/>
  <c r="B14" i="4"/>
  <c r="C14" i="4" s="1"/>
  <c r="B11" i="4"/>
  <c r="C11" i="4" s="1"/>
  <c r="C39" i="9"/>
  <c r="B39" i="9"/>
  <c r="C38" i="9"/>
  <c r="B38" i="9"/>
  <c r="C37" i="9"/>
  <c r="B37" i="9"/>
  <c r="C36" i="9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B36" i="9"/>
  <c r="D2" i="7"/>
  <c r="C2" i="7"/>
  <c r="B2" i="7"/>
  <c r="C35" i="9"/>
  <c r="B35" i="9"/>
  <c r="C34" i="9"/>
  <c r="B34" i="9"/>
  <c r="C33" i="9"/>
  <c r="B33" i="9"/>
  <c r="C32" i="9"/>
  <c r="B32" i="9"/>
  <c r="C31" i="9"/>
  <c r="B31" i="9"/>
  <c r="C43" i="9"/>
  <c r="B42" i="9"/>
  <c r="C41" i="9"/>
  <c r="B41" i="9"/>
  <c r="C40" i="9"/>
  <c r="B40" i="9"/>
  <c r="C42" i="9"/>
  <c r="E3" i="7" l="1"/>
  <c r="F3" i="7" s="1"/>
  <c r="E10" i="7"/>
  <c r="F10" i="7" s="1"/>
  <c r="E8" i="7"/>
  <c r="F8" i="7" s="1"/>
  <c r="G7" i="8"/>
  <c r="B9" i="9"/>
  <c r="E14" i="7"/>
  <c r="F14" i="7" s="1"/>
  <c r="E13" i="7"/>
  <c r="F13" i="7" s="1"/>
  <c r="E12" i="7"/>
  <c r="F12" i="7" s="1"/>
  <c r="E11" i="7"/>
  <c r="F11" i="7" s="1"/>
  <c r="E9" i="7"/>
  <c r="F9" i="7" s="1"/>
  <c r="E5" i="7"/>
  <c r="F5" i="7" s="1"/>
  <c r="E4" i="7"/>
  <c r="F4" i="7" s="1"/>
  <c r="E7" i="7"/>
  <c r="F7" i="7" s="1"/>
  <c r="E6" i="7"/>
  <c r="F6" i="7" s="1"/>
</calcChain>
</file>

<file path=xl/sharedStrings.xml><?xml version="1.0" encoding="utf-8"?>
<sst xmlns="http://schemas.openxmlformats.org/spreadsheetml/2006/main" count="996" uniqueCount="185">
  <si>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</si>
  <si>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</si>
  <si>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</si>
  <si>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</si>
  <si>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</si>
  <si>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</si>
  <si>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</si>
  <si>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</si>
  <si>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</si>
  <si>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</si>
  <si>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</si>
  <si>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</si>
  <si>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</si>
  <si>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</si>
  <si>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</si>
  <si>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</si>
  <si>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</si>
  <si>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</si>
  <si>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</si>
  <si>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</si>
  <si>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</si>
  <si>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</si>
  <si>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</si>
  <si>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</si>
  <si>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</si>
  <si>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</si>
  <si>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</si>
  <si>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</si>
  <si>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</si>
  <si>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</si>
  <si>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</si>
  <si>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</si>
  <si>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</si>
  <si>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</si>
  <si>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</si>
  <si>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</si>
  <si>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</si>
  <si>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</si>
  <si>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</si>
  <si>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</si>
  <si>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</si>
  <si>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</si>
  <si>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</si>
  <si>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</si>
  <si>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</si>
  <si>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</si>
  <si>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</si>
  <si>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</si>
  <si>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</si>
  <si>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</si>
  <si>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</si>
  <si>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</si>
  <si>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</si>
  <si>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</si>
  <si>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</si>
  <si>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</si>
  <si>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</si>
  <si>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</si>
  <si>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</si>
  <si>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</si>
  <si>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</si>
  <si>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</si>
  <si>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</si>
  <si>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</si>
  <si>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</si>
  <si>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</si>
  <si>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</si>
  <si>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</si>
  <si>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</si>
  <si>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</si>
  <si>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</si>
  <si>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</si>
  <si>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</si>
  <si>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</si>
  <si>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</si>
  <si>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</si>
  <si>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Adjusted Profit (Scenario)</t>
  </si>
  <si>
    <t>Month</t>
  </si>
  <si>
    <t>Month Key</t>
  </si>
  <si>
    <t>Timestamp NOW()</t>
  </si>
  <si>
    <t>Sales Rank</t>
  </si>
  <si>
    <t>Customer ID</t>
  </si>
  <si>
    <t>Total Sales</t>
  </si>
  <si>
    <t>Total Profit</t>
  </si>
  <si>
    <t>Orders</t>
  </si>
  <si>
    <t>Rank</t>
  </si>
  <si>
    <t>Segment</t>
  </si>
  <si>
    <t>Lookup ID</t>
  </si>
  <si>
    <t>INDEX MATCH Sales</t>
  </si>
  <si>
    <t>DISCOUNT SCENARIO</t>
  </si>
  <si>
    <t>VALUE</t>
  </si>
  <si>
    <t>DESCRIPTION</t>
  </si>
  <si>
    <t>Current total sales</t>
  </si>
  <si>
    <t>Original sales (before scenario adjustment)</t>
  </si>
  <si>
    <t>Current total profit</t>
  </si>
  <si>
    <t>Original profit</t>
  </si>
  <si>
    <t>Scenario discount</t>
  </si>
  <si>
    <t>Editable: change to 0%, 5%, 10%, 15%, 20%</t>
  </si>
  <si>
    <t>Adjusted total profit</t>
  </si>
  <si>
    <t>Assumes each sale profit changes by Sales × (original discount − scenario discount)</t>
  </si>
  <si>
    <t>Profit change</t>
  </si>
  <si>
    <t>Adjusted minus current</t>
  </si>
  <si>
    <t>Profit change %</t>
  </si>
  <si>
    <t>Relative to original total profit</t>
  </si>
  <si>
    <t>Scenario Discount</t>
  </si>
  <si>
    <t>Estimated Total Profit</t>
  </si>
  <si>
    <t>Change vs Actual</t>
  </si>
  <si>
    <t>METRIC</t>
  </si>
  <si>
    <t>SALES</t>
  </si>
  <si>
    <t>PROFIT</t>
  </si>
  <si>
    <t>DISCOUNT</t>
  </si>
  <si>
    <t>QUANTITY</t>
  </si>
  <si>
    <t>Count</t>
  </si>
  <si>
    <t>Sum</t>
  </si>
  <si>
    <t>Mean</t>
  </si>
  <si>
    <t>Median</t>
  </si>
  <si>
    <t>Minimum</t>
  </si>
  <si>
    <t>Maximum</t>
  </si>
  <si>
    <t>Std Deviation</t>
  </si>
  <si>
    <t>Variance</t>
  </si>
  <si>
    <t>25th Percentile</t>
  </si>
  <si>
    <t>75th Percentile</t>
  </si>
  <si>
    <t>PROFIT VS SALES REGRESSION</t>
  </si>
  <si>
    <t>INTERPRETATION</t>
  </si>
  <si>
    <t>Observations</t>
  </si>
  <si>
    <t>Transaction count</t>
  </si>
  <si>
    <t>Slope</t>
  </si>
  <si>
    <t>Estimated change in profit per unit of sales</t>
  </si>
  <si>
    <t>Intercept</t>
  </si>
  <si>
    <t>Predicted profit when sales are zero</t>
  </si>
  <si>
    <t>R-squared</t>
  </si>
  <si>
    <t>Share of variation in profit explained by sales</t>
  </si>
  <si>
    <t>Correlation</t>
  </si>
  <si>
    <t>Pearson correlation</t>
  </si>
  <si>
    <t>Residual standard error</t>
  </si>
  <si>
    <t>Standard error of prediction</t>
  </si>
  <si>
    <t>Slope t-statistic</t>
  </si>
  <si>
    <t>Slope divided by its standard error</t>
  </si>
  <si>
    <t>Model</t>
  </si>
  <si>
    <t>Profit = Intercept + Slope × Sales</t>
  </si>
  <si>
    <t>Ordinary least squares; based on all 200 original transactions</t>
  </si>
  <si>
    <t>Sales Growth</t>
  </si>
  <si>
    <t>Trend</t>
  </si>
  <si>
    <t>Timestamp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</si>
  <si>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</si>
  <si>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</si>
  <si>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</si>
  <si>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</si>
  <si>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</si>
  <si>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</si>
  <si>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</si>
  <si>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</si>
  <si>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</si>
  <si>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</si>
  <si>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</si>
  <si>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</si>
  <si>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</si>
  <si>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REGION / CATEGORY</t>
  </si>
  <si>
    <t>TOTAL SALES</t>
  </si>
  <si>
    <t>TOTAL PROFIT</t>
  </si>
  <si>
    <t>ORDERS</t>
  </si>
  <si>
    <t>GRAND TOTAL</t>
  </si>
  <si>
    <t>PR. 2 | SALES ANALYTICS DASHBOARD</t>
  </si>
  <si>
    <t>INSIGHT / DEFINITION</t>
  </si>
  <si>
    <t>All transactions</t>
  </si>
  <si>
    <t>Profit Margin</t>
  </si>
  <si>
    <t>Profit / Sales</t>
  </si>
  <si>
    <t>Total Transactions</t>
  </si>
  <si>
    <t>Original records</t>
  </si>
  <si>
    <t>Unique Customers</t>
  </si>
  <si>
    <t>Distinct customer IDs</t>
  </si>
  <si>
    <t>Average Discount</t>
  </si>
  <si>
    <t>Average of transaction discounts</t>
  </si>
  <si>
    <t>Top Customer</t>
  </si>
  <si>
    <t>Highest cumulative purchase</t>
  </si>
  <si>
    <t>Best Sales Region</t>
  </si>
  <si>
    <t>Region with highest sales</t>
  </si>
  <si>
    <t>Best Product Category</t>
  </si>
  <si>
    <t>Category with highest sales</t>
  </si>
  <si>
    <t>SALES BY REGION</t>
  </si>
  <si>
    <t>SALES BY PRODUCT</t>
  </si>
  <si>
    <t>MONTH</t>
  </si>
  <si>
    <t>Sales Band Lower</t>
  </si>
  <si>
    <t>Sales Band Upper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</si>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</sst>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"/>
    <numFmt numFmtId="166" formatCode="0.0%"/>
    <numFmt numFmtId="167" formatCode="\+0.0%;\-0.0%;0.0%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rgb="FF13263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3263F"/>
      </patternFill>
    </fill>
    <fill>
      <patternFill patternType="solid">
        <fgColor rgb="FFFFF0C2"/>
      </patternFill>
    </fill>
    <fill>
      <patternFill patternType="solid">
        <fgColor rgb="FFE9F4F7"/>
      </patternFill>
    </fill>
    <fill>
      <patternFill patternType="solid">
        <fgColor rgb="FF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4" fontId="0" fillId="0" borderId="0" xfId="0" applyNumberFormat="1"/>
    <xf numFmtId="0" fontId="3" fillId="2" borderId="0" xfId="0" applyFont="1" applyFill="1" applyAlignment="1">
      <alignment wrapText="1"/>
    </xf>
    <xf numFmtId="166" fontId="0" fillId="0" borderId="0" xfId="0" applyNumberFormat="1"/>
    <xf numFmtId="9" fontId="0" fillId="3" borderId="0" xfId="0" applyNumberFormat="1" applyFill="1"/>
    <xf numFmtId="10" fontId="0" fillId="0" borderId="0" xfId="0" applyNumberFormat="1"/>
    <xf numFmtId="167" fontId="0" fillId="0" borderId="0" xfId="0" applyNumberFormat="1"/>
    <xf numFmtId="0" fontId="4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>
      <fill>
        <patternFill patternType="solid">
          <bgColor rgb="FFFFF0C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'Executive Dashboard'!$A$14:$A$18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'Executive Dashboard'!$B$14:$B$18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A-490F-887E-5D6BCE6CC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Total Sales</c:v>
          </c:tx>
          <c:cat>
            <c:strRef>
              <c:f>'Executive Dashboard'!$A$22:$A$26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'Executive Dashboard'!$B$22:$B$26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A-4051-AFC9-AC2E66069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Sales</c:v>
          </c:tx>
          <c:marker>
            <c:symbol val="none"/>
          </c:marker>
          <c:cat>
            <c:strRef>
              <c:f>'Executive Dashboard'!$A$31:$A$43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'Executive Dashboard'!$B$31:$B$43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3-4F3B-A70C-F6F5B2F59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Transactions</c:v>
          </c:tx>
          <c:invertIfNegative val="1"/>
          <c:cat>
            <c:numRef>
              <c:f>'Sales Histogram'!$A$2:$A$11</c:f>
              <c:numCache>
                <c:formatCode>General</c:formatCode>
                <c:ptCount val="10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</c:numCache>
            </c:numRef>
          </c:cat>
          <c:val>
            <c:numRef>
              <c:f>'Sales Histogram'!$C$2:$C$11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37</c:v>
                </c:pt>
                <c:pt idx="3">
                  <c:v>58</c:v>
                </c:pt>
                <c:pt idx="4">
                  <c:v>60</c:v>
                </c:pt>
                <c:pt idx="5">
                  <c:v>25</c:v>
                </c:pt>
                <c:pt idx="6">
                  <c:v>8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F4C-A69B-0C45C3FD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ySplit="1" topLeftCell="A2" activePane="bottomLeft" state="frozen"/>
      <selection pane="bottomLeft" activeCell="E177" sqref="E177"/>
    </sheetView>
  </sheetViews>
  <sheetFormatPr defaultColWidth="14.42578125" defaultRowHeight="15" x14ac:dyDescent="0.25"/>
  <cols>
    <col min="1" max="1" width="16" customWidth="1"/>
    <col min="2" max="2" width="23" customWidth="1"/>
    <col min="3" max="3" width="14" customWidth="1"/>
    <col min="4" max="4" width="21" customWidth="1"/>
    <col min="5" max="5" width="16" customWidth="1"/>
    <col min="6" max="6" width="13" customWidth="1"/>
    <col min="7" max="7" width="14" customWidth="1"/>
    <col min="8" max="8" width="17" customWidth="1"/>
    <col min="9" max="9" width="16" customWidth="1"/>
    <col min="10" max="10" width="23" customWidth="1"/>
    <col min="11" max="11" width="13" customWidth="1"/>
    <col min="12" max="12" width="17" customWidth="1"/>
    <col min="13" max="13" width="25" customWidth="1"/>
    <col min="14" max="14" width="15" customWidth="1"/>
    <col min="15" max="26" width="8.7109375" customWidth="1"/>
  </cols>
  <sheetData>
    <row r="1" spans="1:26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9</v>
      </c>
      <c r="B2" s="2" t="s">
        <v>10</v>
      </c>
      <c r="C2" s="2" t="s">
        <v>11</v>
      </c>
      <c r="D2" s="2" t="s">
        <v>12</v>
      </c>
      <c r="E2">
        <v>1036.0899999999999</v>
      </c>
      <c r="F2" s="2">
        <v>4</v>
      </c>
      <c r="G2" s="6">
        <v>0.2</v>
      </c>
      <c r="H2" s="4">
        <v>45392</v>
      </c>
      <c r="I2" s="7">
        <v>331.55</v>
      </c>
      <c r="J2" s="7">
        <f>I2+E2*(G2-'What-If Analysis'!$B$4)</f>
        <v>435.15899999999999</v>
      </c>
      <c r="K2">
        <f t="shared" ref="K2:K33" si="0">MONTH(H2)</f>
        <v>4</v>
      </c>
      <c r="L2" t="str">
        <f t="shared" ref="L2:L33" si="1">TEXT(H2,"yyyy-mm")</f>
        <v>2024-04</v>
      </c>
      <c r="M2" s="5">
        <f t="shared" ref="M2:M33" ca="1" si="2">NOW()</f>
        <v>46324.534849537034</v>
      </c>
      <c r="N2">
        <f t="shared" ref="N2:N33" si="3">_xlfn.RANK.EQ(E2,$E$2:$E$201,0)</f>
        <v>80</v>
      </c>
    </row>
    <row r="3" spans="1:26" x14ac:dyDescent="0.25">
      <c r="A3" s="2" t="s">
        <v>13</v>
      </c>
      <c r="B3" s="2" t="s">
        <v>14</v>
      </c>
      <c r="C3" s="2" t="s">
        <v>11</v>
      </c>
      <c r="D3" s="2" t="s">
        <v>15</v>
      </c>
      <c r="E3">
        <v>1101.28</v>
      </c>
      <c r="F3" s="2">
        <v>3</v>
      </c>
      <c r="G3" s="6">
        <v>0.2</v>
      </c>
      <c r="H3" s="4">
        <v>45393</v>
      </c>
      <c r="I3" s="7">
        <v>440.51</v>
      </c>
      <c r="J3" s="7">
        <f>I3+E3*(G3-'What-If Analysis'!$B$4)</f>
        <v>550.63800000000003</v>
      </c>
      <c r="K3">
        <f t="shared" si="0"/>
        <v>4</v>
      </c>
      <c r="L3" t="str">
        <f t="shared" si="1"/>
        <v>2024-04</v>
      </c>
      <c r="M3" s="5">
        <f t="shared" ca="1" si="2"/>
        <v>46324.534849537034</v>
      </c>
      <c r="N3">
        <f t="shared" si="3"/>
        <v>66</v>
      </c>
    </row>
    <row r="4" spans="1:26" x14ac:dyDescent="0.25">
      <c r="A4" s="2" t="s">
        <v>16</v>
      </c>
      <c r="B4" s="2" t="s">
        <v>17</v>
      </c>
      <c r="C4" s="2" t="s">
        <v>18</v>
      </c>
      <c r="D4" s="2" t="s">
        <v>12</v>
      </c>
      <c r="E4">
        <v>713.34</v>
      </c>
      <c r="F4" s="2">
        <v>17</v>
      </c>
      <c r="G4" s="6">
        <v>0</v>
      </c>
      <c r="H4" s="4">
        <v>45396</v>
      </c>
      <c r="I4" s="7">
        <v>285.33999999999997</v>
      </c>
      <c r="J4" s="7">
        <f>I4+E4*(G4-'What-If Analysis'!$B$4)</f>
        <v>214.00599999999997</v>
      </c>
      <c r="K4">
        <f t="shared" si="0"/>
        <v>4</v>
      </c>
      <c r="L4" t="str">
        <f t="shared" si="1"/>
        <v>2024-04</v>
      </c>
      <c r="M4" s="5">
        <f t="shared" ca="1" si="2"/>
        <v>46324.534849537034</v>
      </c>
      <c r="N4">
        <f t="shared" si="3"/>
        <v>162</v>
      </c>
    </row>
    <row r="5" spans="1:26" x14ac:dyDescent="0.25">
      <c r="A5" s="2" t="s">
        <v>19</v>
      </c>
      <c r="B5" s="2" t="s">
        <v>14</v>
      </c>
      <c r="C5" s="2" t="s">
        <v>20</v>
      </c>
      <c r="D5" s="2" t="s">
        <v>21</v>
      </c>
      <c r="E5">
        <v>760.93</v>
      </c>
      <c r="F5" s="2">
        <v>4</v>
      </c>
      <c r="G5" s="6">
        <v>0.15</v>
      </c>
      <c r="H5" s="4">
        <v>45396</v>
      </c>
      <c r="I5" s="7">
        <v>161.69999999999999</v>
      </c>
      <c r="J5" s="7">
        <f>I5+E5*(G5-'What-If Analysis'!$B$4)</f>
        <v>199.74649999999997</v>
      </c>
      <c r="K5">
        <f t="shared" si="0"/>
        <v>4</v>
      </c>
      <c r="L5" t="str">
        <f t="shared" si="1"/>
        <v>2024-04</v>
      </c>
      <c r="M5" s="5">
        <f t="shared" ca="1" si="2"/>
        <v>46324.534849537034</v>
      </c>
      <c r="N5">
        <f t="shared" si="3"/>
        <v>151</v>
      </c>
    </row>
    <row r="6" spans="1:26" x14ac:dyDescent="0.25">
      <c r="A6" s="2" t="s">
        <v>22</v>
      </c>
      <c r="B6" s="2" t="s">
        <v>23</v>
      </c>
      <c r="C6" s="2" t="s">
        <v>24</v>
      </c>
      <c r="D6" s="2" t="s">
        <v>12</v>
      </c>
      <c r="E6">
        <v>847</v>
      </c>
      <c r="F6" s="2">
        <v>12</v>
      </c>
      <c r="G6" s="6">
        <v>0.2</v>
      </c>
      <c r="H6" s="4">
        <v>45397</v>
      </c>
      <c r="I6" s="7">
        <v>271.04000000000002</v>
      </c>
      <c r="J6" s="7">
        <f>I6+E6*(G6-'What-If Analysis'!$B$4)</f>
        <v>355.74</v>
      </c>
      <c r="K6">
        <f t="shared" si="0"/>
        <v>4</v>
      </c>
      <c r="L6" t="str">
        <f t="shared" si="1"/>
        <v>2024-04</v>
      </c>
      <c r="M6" s="5">
        <f t="shared" ca="1" si="2"/>
        <v>46324.534849537034</v>
      </c>
      <c r="N6">
        <f t="shared" si="3"/>
        <v>131</v>
      </c>
    </row>
    <row r="7" spans="1:26" x14ac:dyDescent="0.25">
      <c r="A7" s="2" t="s">
        <v>25</v>
      </c>
      <c r="B7" s="2" t="s">
        <v>26</v>
      </c>
      <c r="C7" s="2" t="s">
        <v>24</v>
      </c>
      <c r="D7" s="2" t="s">
        <v>27</v>
      </c>
      <c r="E7">
        <v>965.64</v>
      </c>
      <c r="F7" s="2">
        <v>8</v>
      </c>
      <c r="G7" s="6">
        <v>0.1</v>
      </c>
      <c r="H7" s="4">
        <v>45398</v>
      </c>
      <c r="I7" s="7">
        <v>304.18</v>
      </c>
      <c r="J7" s="7">
        <f>I7+E7*(G7-'What-If Analysis'!$B$4)</f>
        <v>304.18</v>
      </c>
      <c r="K7">
        <f t="shared" si="0"/>
        <v>4</v>
      </c>
      <c r="L7" t="str">
        <f t="shared" si="1"/>
        <v>2024-04</v>
      </c>
      <c r="M7" s="5">
        <f t="shared" ca="1" si="2"/>
        <v>46324.534849537034</v>
      </c>
      <c r="N7">
        <f t="shared" si="3"/>
        <v>104</v>
      </c>
    </row>
    <row r="8" spans="1:26" x14ac:dyDescent="0.25">
      <c r="A8" s="2" t="s">
        <v>28</v>
      </c>
      <c r="B8" s="2" t="s">
        <v>29</v>
      </c>
      <c r="C8" s="2" t="s">
        <v>11</v>
      </c>
      <c r="D8" s="2" t="s">
        <v>21</v>
      </c>
      <c r="E8">
        <v>1317.53</v>
      </c>
      <c r="F8" s="2">
        <v>12</v>
      </c>
      <c r="G8" s="6">
        <v>0.05</v>
      </c>
      <c r="H8" s="4">
        <v>45398</v>
      </c>
      <c r="I8" s="7">
        <v>312.91000000000003</v>
      </c>
      <c r="J8" s="7">
        <f>I8+E8*(G8-'What-If Analysis'!$B$4)</f>
        <v>247.0335</v>
      </c>
      <c r="K8">
        <f t="shared" si="0"/>
        <v>4</v>
      </c>
      <c r="L8" t="str">
        <f t="shared" si="1"/>
        <v>2024-04</v>
      </c>
      <c r="M8" s="5">
        <f t="shared" ca="1" si="2"/>
        <v>46324.534849537034</v>
      </c>
      <c r="N8">
        <f t="shared" si="3"/>
        <v>26</v>
      </c>
    </row>
    <row r="9" spans="1:26" x14ac:dyDescent="0.25">
      <c r="A9" s="2" t="s">
        <v>30</v>
      </c>
      <c r="B9" s="2" t="s">
        <v>31</v>
      </c>
      <c r="C9" s="2" t="s">
        <v>18</v>
      </c>
      <c r="D9" s="2" t="s">
        <v>27</v>
      </c>
      <c r="E9">
        <v>1074.47</v>
      </c>
      <c r="F9" s="2">
        <v>6</v>
      </c>
      <c r="G9" s="6">
        <v>0.2</v>
      </c>
      <c r="H9" s="4">
        <v>45401</v>
      </c>
      <c r="I9" s="7">
        <v>300.85000000000002</v>
      </c>
      <c r="J9" s="7">
        <f>I9+E9*(G9-'What-If Analysis'!$B$4)</f>
        <v>408.29700000000003</v>
      </c>
      <c r="K9">
        <f t="shared" si="0"/>
        <v>4</v>
      </c>
      <c r="L9" t="str">
        <f t="shared" si="1"/>
        <v>2024-04</v>
      </c>
      <c r="M9" s="5">
        <f t="shared" ca="1" si="2"/>
        <v>46324.534849537034</v>
      </c>
      <c r="N9">
        <f t="shared" si="3"/>
        <v>75</v>
      </c>
    </row>
    <row r="10" spans="1:26" x14ac:dyDescent="0.25">
      <c r="A10" s="2" t="s">
        <v>32</v>
      </c>
      <c r="B10" s="2" t="s">
        <v>33</v>
      </c>
      <c r="C10" s="2" t="s">
        <v>34</v>
      </c>
      <c r="D10" s="2" t="s">
        <v>12</v>
      </c>
      <c r="E10">
        <v>501.54</v>
      </c>
      <c r="F10" s="2">
        <v>11</v>
      </c>
      <c r="G10" s="6">
        <v>0.05</v>
      </c>
      <c r="H10" s="4">
        <v>45401</v>
      </c>
      <c r="I10" s="7">
        <v>190.59</v>
      </c>
      <c r="J10" s="7">
        <f>I10+E10*(G10-'What-If Analysis'!$B$4)</f>
        <v>165.51300000000001</v>
      </c>
      <c r="K10">
        <f t="shared" si="0"/>
        <v>4</v>
      </c>
      <c r="L10" t="str">
        <f t="shared" si="1"/>
        <v>2024-04</v>
      </c>
      <c r="M10" s="5">
        <f t="shared" ca="1" si="2"/>
        <v>46324.534849537034</v>
      </c>
      <c r="N10">
        <f t="shared" si="3"/>
        <v>189</v>
      </c>
    </row>
    <row r="11" spans="1:26" x14ac:dyDescent="0.25">
      <c r="A11" s="2" t="s">
        <v>35</v>
      </c>
      <c r="B11" s="2" t="s">
        <v>36</v>
      </c>
      <c r="C11" s="2" t="s">
        <v>34</v>
      </c>
      <c r="D11" s="2" t="s">
        <v>15</v>
      </c>
      <c r="E11">
        <v>737.31</v>
      </c>
      <c r="F11" s="2">
        <v>2</v>
      </c>
      <c r="G11" s="6">
        <v>0.05</v>
      </c>
      <c r="H11" s="4">
        <v>45401</v>
      </c>
      <c r="I11" s="7">
        <v>350.22</v>
      </c>
      <c r="J11" s="7">
        <f>I11+E11*(G11-'What-If Analysis'!$B$4)</f>
        <v>313.35450000000003</v>
      </c>
      <c r="K11">
        <f t="shared" si="0"/>
        <v>4</v>
      </c>
      <c r="L11" t="str">
        <f t="shared" si="1"/>
        <v>2024-04</v>
      </c>
      <c r="M11" s="5">
        <f t="shared" ca="1" si="2"/>
        <v>46324.534849537034</v>
      </c>
      <c r="N11">
        <f t="shared" si="3"/>
        <v>158</v>
      </c>
    </row>
    <row r="12" spans="1:26" x14ac:dyDescent="0.25">
      <c r="A12" s="2" t="s">
        <v>37</v>
      </c>
      <c r="B12" s="2" t="s">
        <v>38</v>
      </c>
      <c r="C12" s="2" t="s">
        <v>11</v>
      </c>
      <c r="D12" s="2" t="s">
        <v>39</v>
      </c>
      <c r="E12">
        <v>1572.82</v>
      </c>
      <c r="F12" s="2">
        <v>6</v>
      </c>
      <c r="G12" s="6">
        <v>0.05</v>
      </c>
      <c r="H12" s="4">
        <v>45402</v>
      </c>
      <c r="I12" s="7">
        <v>672.38</v>
      </c>
      <c r="J12" s="7">
        <f>I12+E12*(G12-'What-If Analysis'!$B$4)</f>
        <v>593.73900000000003</v>
      </c>
      <c r="K12">
        <f t="shared" si="0"/>
        <v>4</v>
      </c>
      <c r="L12" t="str">
        <f t="shared" si="1"/>
        <v>2024-04</v>
      </c>
      <c r="M12" s="5">
        <f t="shared" ca="1" si="2"/>
        <v>46324.534849537034</v>
      </c>
      <c r="N12">
        <f t="shared" si="3"/>
        <v>6</v>
      </c>
    </row>
    <row r="13" spans="1:26" x14ac:dyDescent="0.25">
      <c r="A13" s="2" t="s">
        <v>37</v>
      </c>
      <c r="B13" s="2" t="s">
        <v>36</v>
      </c>
      <c r="C13" s="2" t="s">
        <v>34</v>
      </c>
      <c r="D13" s="2" t="s">
        <v>12</v>
      </c>
      <c r="E13">
        <v>1343.13</v>
      </c>
      <c r="F13" s="2">
        <v>14</v>
      </c>
      <c r="G13" s="6">
        <v>0.15</v>
      </c>
      <c r="H13" s="4">
        <v>45404</v>
      </c>
      <c r="I13" s="7">
        <v>456.66</v>
      </c>
      <c r="J13" s="7">
        <f>I13+E13*(G13-'What-If Analysis'!$B$4)</f>
        <v>523.81650000000002</v>
      </c>
      <c r="K13">
        <f t="shared" si="0"/>
        <v>4</v>
      </c>
      <c r="L13" t="str">
        <f t="shared" si="1"/>
        <v>2024-04</v>
      </c>
      <c r="M13" s="5">
        <f t="shared" ca="1" si="2"/>
        <v>46324.534849537034</v>
      </c>
      <c r="N13">
        <f t="shared" si="3"/>
        <v>24</v>
      </c>
    </row>
    <row r="14" spans="1:26" x14ac:dyDescent="0.25">
      <c r="A14" s="2" t="s">
        <v>25</v>
      </c>
      <c r="B14" s="2" t="s">
        <v>26</v>
      </c>
      <c r="C14" s="2" t="s">
        <v>34</v>
      </c>
      <c r="D14" s="2" t="s">
        <v>12</v>
      </c>
      <c r="E14">
        <v>1191.58</v>
      </c>
      <c r="F14" s="2">
        <v>14</v>
      </c>
      <c r="G14" s="6">
        <v>0.05</v>
      </c>
      <c r="H14" s="4">
        <v>45406</v>
      </c>
      <c r="I14" s="7">
        <v>452.8</v>
      </c>
      <c r="J14" s="7">
        <f>I14+E14*(G14-'What-If Analysis'!$B$4)</f>
        <v>393.221</v>
      </c>
      <c r="K14">
        <f t="shared" si="0"/>
        <v>4</v>
      </c>
      <c r="L14" t="str">
        <f t="shared" si="1"/>
        <v>2024-04</v>
      </c>
      <c r="M14" s="5">
        <f t="shared" ca="1" si="2"/>
        <v>46324.534849537034</v>
      </c>
      <c r="N14">
        <f t="shared" si="3"/>
        <v>46</v>
      </c>
    </row>
    <row r="15" spans="1:26" x14ac:dyDescent="0.25">
      <c r="A15" s="2" t="s">
        <v>40</v>
      </c>
      <c r="B15" s="2" t="s">
        <v>14</v>
      </c>
      <c r="C15" s="2" t="s">
        <v>11</v>
      </c>
      <c r="D15" s="2" t="s">
        <v>27</v>
      </c>
      <c r="E15">
        <v>822.28</v>
      </c>
      <c r="F15" s="2">
        <v>7</v>
      </c>
      <c r="G15" s="6">
        <v>0.05</v>
      </c>
      <c r="H15" s="4">
        <v>45406</v>
      </c>
      <c r="I15" s="7">
        <v>273.41000000000003</v>
      </c>
      <c r="J15" s="7">
        <f>I15+E15*(G15-'What-If Analysis'!$B$4)</f>
        <v>232.29600000000002</v>
      </c>
      <c r="K15">
        <f t="shared" si="0"/>
        <v>4</v>
      </c>
      <c r="L15" t="str">
        <f t="shared" si="1"/>
        <v>2024-04</v>
      </c>
      <c r="M15" s="5">
        <f t="shared" ca="1" si="2"/>
        <v>46324.534849537034</v>
      </c>
      <c r="N15">
        <f t="shared" si="3"/>
        <v>139</v>
      </c>
    </row>
    <row r="16" spans="1:26" x14ac:dyDescent="0.25">
      <c r="A16" s="2" t="s">
        <v>41</v>
      </c>
      <c r="B16" s="2" t="s">
        <v>42</v>
      </c>
      <c r="C16" s="2" t="s">
        <v>24</v>
      </c>
      <c r="D16" s="2" t="s">
        <v>27</v>
      </c>
      <c r="E16">
        <v>521.66999999999996</v>
      </c>
      <c r="F16" s="2">
        <v>15</v>
      </c>
      <c r="G16" s="6">
        <v>0.15</v>
      </c>
      <c r="H16" s="4">
        <v>45409</v>
      </c>
      <c r="I16" s="7">
        <v>155.19999999999999</v>
      </c>
      <c r="J16" s="7">
        <f>I16+E16*(G16-'What-If Analysis'!$B$4)</f>
        <v>181.28349999999998</v>
      </c>
      <c r="K16">
        <f t="shared" si="0"/>
        <v>4</v>
      </c>
      <c r="L16" t="str">
        <f t="shared" si="1"/>
        <v>2024-04</v>
      </c>
      <c r="M16" s="5">
        <f t="shared" ca="1" si="2"/>
        <v>46324.534849537034</v>
      </c>
      <c r="N16">
        <f t="shared" si="3"/>
        <v>186</v>
      </c>
    </row>
    <row r="17" spans="1:14" x14ac:dyDescent="0.25">
      <c r="A17" s="2" t="s">
        <v>19</v>
      </c>
      <c r="B17" s="2" t="s">
        <v>43</v>
      </c>
      <c r="C17" s="2" t="s">
        <v>20</v>
      </c>
      <c r="D17" s="2" t="s">
        <v>21</v>
      </c>
      <c r="E17">
        <v>1502.93</v>
      </c>
      <c r="F17" s="2">
        <v>14</v>
      </c>
      <c r="G17" s="6">
        <v>0.2</v>
      </c>
      <c r="H17" s="4">
        <v>45410</v>
      </c>
      <c r="I17" s="7">
        <v>300.58999999999997</v>
      </c>
      <c r="J17" s="7">
        <f>I17+E17*(G17-'What-If Analysis'!$B$4)</f>
        <v>450.88299999999998</v>
      </c>
      <c r="K17">
        <f t="shared" si="0"/>
        <v>4</v>
      </c>
      <c r="L17" t="str">
        <f t="shared" si="1"/>
        <v>2024-04</v>
      </c>
      <c r="M17" s="5">
        <f t="shared" ca="1" si="2"/>
        <v>46324.534849537034</v>
      </c>
      <c r="N17">
        <f t="shared" si="3"/>
        <v>9</v>
      </c>
    </row>
    <row r="18" spans="1:14" x14ac:dyDescent="0.25">
      <c r="A18" s="2" t="s">
        <v>44</v>
      </c>
      <c r="B18" s="2" t="s">
        <v>14</v>
      </c>
      <c r="C18" s="2" t="s">
        <v>20</v>
      </c>
      <c r="D18" s="2" t="s">
        <v>12</v>
      </c>
      <c r="E18">
        <v>877.58</v>
      </c>
      <c r="F18" s="2">
        <v>10</v>
      </c>
      <c r="G18" s="6">
        <v>0.15</v>
      </c>
      <c r="H18" s="4">
        <v>45411</v>
      </c>
      <c r="I18" s="7">
        <v>298.38</v>
      </c>
      <c r="J18" s="7">
        <f>I18+E18*(G18-'What-If Analysis'!$B$4)</f>
        <v>342.25900000000001</v>
      </c>
      <c r="K18">
        <f t="shared" si="0"/>
        <v>4</v>
      </c>
      <c r="L18" t="str">
        <f t="shared" si="1"/>
        <v>2024-04</v>
      </c>
      <c r="M18" s="5">
        <f t="shared" ca="1" si="2"/>
        <v>46324.534849537034</v>
      </c>
      <c r="N18">
        <f t="shared" si="3"/>
        <v>121</v>
      </c>
    </row>
    <row r="19" spans="1:14" x14ac:dyDescent="0.25">
      <c r="A19" s="2" t="s">
        <v>28</v>
      </c>
      <c r="B19" s="2" t="s">
        <v>45</v>
      </c>
      <c r="C19" s="2" t="s">
        <v>11</v>
      </c>
      <c r="D19" s="2" t="s">
        <v>12</v>
      </c>
      <c r="E19">
        <v>636.70000000000005</v>
      </c>
      <c r="F19" s="2">
        <v>4</v>
      </c>
      <c r="G19" s="6">
        <v>0.2</v>
      </c>
      <c r="H19" s="4">
        <v>45411</v>
      </c>
      <c r="I19" s="7">
        <v>203.74</v>
      </c>
      <c r="J19" s="7">
        <f>I19+E19*(G19-'What-If Analysis'!$B$4)</f>
        <v>267.41000000000003</v>
      </c>
      <c r="K19">
        <f t="shared" si="0"/>
        <v>4</v>
      </c>
      <c r="L19" t="str">
        <f t="shared" si="1"/>
        <v>2024-04</v>
      </c>
      <c r="M19" s="5">
        <f t="shared" ca="1" si="2"/>
        <v>46324.534849537034</v>
      </c>
      <c r="N19">
        <f t="shared" si="3"/>
        <v>177</v>
      </c>
    </row>
    <row r="20" spans="1:14" x14ac:dyDescent="0.25">
      <c r="A20" s="2" t="s">
        <v>46</v>
      </c>
      <c r="B20" s="2" t="s">
        <v>47</v>
      </c>
      <c r="C20" s="2" t="s">
        <v>11</v>
      </c>
      <c r="D20" s="2" t="s">
        <v>12</v>
      </c>
      <c r="E20">
        <v>1506.14</v>
      </c>
      <c r="F20" s="2">
        <v>13</v>
      </c>
      <c r="G20" s="6">
        <v>0.2</v>
      </c>
      <c r="H20" s="4">
        <v>45412</v>
      </c>
      <c r="I20" s="7">
        <v>481.96</v>
      </c>
      <c r="J20" s="7">
        <f>I20+E20*(G20-'What-If Analysis'!$B$4)</f>
        <v>632.57399999999996</v>
      </c>
      <c r="K20">
        <f t="shared" si="0"/>
        <v>4</v>
      </c>
      <c r="L20" t="str">
        <f t="shared" si="1"/>
        <v>2024-04</v>
      </c>
      <c r="M20" s="5">
        <f t="shared" ca="1" si="2"/>
        <v>46324.534849537034</v>
      </c>
      <c r="N20">
        <f t="shared" si="3"/>
        <v>8</v>
      </c>
    </row>
    <row r="21" spans="1:14" ht="15.75" customHeight="1" x14ac:dyDescent="0.25">
      <c r="A21" s="2" t="s">
        <v>30</v>
      </c>
      <c r="B21" s="2" t="s">
        <v>31</v>
      </c>
      <c r="C21" s="2" t="s">
        <v>34</v>
      </c>
      <c r="D21" s="2" t="s">
        <v>21</v>
      </c>
      <c r="E21">
        <v>645.02</v>
      </c>
      <c r="F21" s="2">
        <v>4</v>
      </c>
      <c r="G21" s="6">
        <v>0</v>
      </c>
      <c r="H21" s="4">
        <v>45414</v>
      </c>
      <c r="I21" s="7">
        <v>161.26</v>
      </c>
      <c r="J21" s="7">
        <f>I21+E21*(G21-'What-If Analysis'!$B$4)</f>
        <v>96.757999999999996</v>
      </c>
      <c r="K21">
        <f t="shared" si="0"/>
        <v>5</v>
      </c>
      <c r="L21" t="str">
        <f t="shared" si="1"/>
        <v>2024-05</v>
      </c>
      <c r="M21" s="5">
        <f t="shared" ca="1" si="2"/>
        <v>46324.534849537034</v>
      </c>
      <c r="N21">
        <f t="shared" si="3"/>
        <v>175</v>
      </c>
    </row>
    <row r="22" spans="1:14" ht="15.75" customHeight="1" x14ac:dyDescent="0.25">
      <c r="A22" s="2" t="s">
        <v>25</v>
      </c>
      <c r="B22" s="2" t="s">
        <v>48</v>
      </c>
      <c r="C22" s="2" t="s">
        <v>20</v>
      </c>
      <c r="D22" s="2" t="s">
        <v>15</v>
      </c>
      <c r="E22">
        <v>953.3</v>
      </c>
      <c r="F22" s="2">
        <v>11</v>
      </c>
      <c r="G22" s="6">
        <v>0</v>
      </c>
      <c r="H22" s="4">
        <v>45415</v>
      </c>
      <c r="I22" s="7">
        <v>476.65</v>
      </c>
      <c r="J22" s="7">
        <f>I22+E22*(G22-'What-If Analysis'!$B$4)</f>
        <v>381.32</v>
      </c>
      <c r="K22">
        <f t="shared" si="0"/>
        <v>5</v>
      </c>
      <c r="L22" t="str">
        <f t="shared" si="1"/>
        <v>2024-05</v>
      </c>
      <c r="M22" s="5">
        <f t="shared" ca="1" si="2"/>
        <v>46324.534849537034</v>
      </c>
      <c r="N22">
        <f t="shared" si="3"/>
        <v>107</v>
      </c>
    </row>
    <row r="23" spans="1:14" ht="15.75" customHeight="1" x14ac:dyDescent="0.25">
      <c r="A23" s="2" t="s">
        <v>49</v>
      </c>
      <c r="B23" s="2" t="s">
        <v>14</v>
      </c>
      <c r="C23" s="2" t="s">
        <v>24</v>
      </c>
      <c r="D23" s="2" t="s">
        <v>21</v>
      </c>
      <c r="E23">
        <v>388.56</v>
      </c>
      <c r="F23" s="2">
        <v>14</v>
      </c>
      <c r="G23" s="6">
        <v>0.15</v>
      </c>
      <c r="H23" s="4">
        <v>45416</v>
      </c>
      <c r="I23" s="7">
        <v>82.57</v>
      </c>
      <c r="J23" s="7">
        <f>I23+E23*(G23-'What-If Analysis'!$B$4)</f>
        <v>101.99799999999999</v>
      </c>
      <c r="K23">
        <f t="shared" si="0"/>
        <v>5</v>
      </c>
      <c r="L23" t="str">
        <f t="shared" si="1"/>
        <v>2024-05</v>
      </c>
      <c r="M23" s="5">
        <f t="shared" ca="1" si="2"/>
        <v>46324.534849537034</v>
      </c>
      <c r="N23">
        <f t="shared" si="3"/>
        <v>195</v>
      </c>
    </row>
    <row r="24" spans="1:14" ht="15.75" customHeight="1" x14ac:dyDescent="0.25">
      <c r="A24" s="2" t="s">
        <v>9</v>
      </c>
      <c r="B24" s="2" t="s">
        <v>31</v>
      </c>
      <c r="C24" s="2" t="s">
        <v>11</v>
      </c>
      <c r="D24" s="2" t="s">
        <v>12</v>
      </c>
      <c r="E24">
        <v>743.17</v>
      </c>
      <c r="F24" s="2">
        <v>9</v>
      </c>
      <c r="G24" s="6">
        <v>0</v>
      </c>
      <c r="H24" s="4">
        <v>45416</v>
      </c>
      <c r="I24" s="7">
        <v>297.27</v>
      </c>
      <c r="J24" s="7">
        <f>I24+E24*(G24-'What-If Analysis'!$B$4)</f>
        <v>222.95299999999997</v>
      </c>
      <c r="K24">
        <f t="shared" si="0"/>
        <v>5</v>
      </c>
      <c r="L24" t="str">
        <f t="shared" si="1"/>
        <v>2024-05</v>
      </c>
      <c r="M24" s="5">
        <f t="shared" ca="1" si="2"/>
        <v>46324.534849537034</v>
      </c>
      <c r="N24">
        <f t="shared" si="3"/>
        <v>154</v>
      </c>
    </row>
    <row r="25" spans="1:14" ht="15.75" customHeight="1" x14ac:dyDescent="0.25">
      <c r="A25" s="2" t="s">
        <v>40</v>
      </c>
      <c r="B25" s="2" t="s">
        <v>31</v>
      </c>
      <c r="C25" s="2" t="s">
        <v>34</v>
      </c>
      <c r="D25" s="2" t="s">
        <v>21</v>
      </c>
      <c r="E25">
        <v>706.37</v>
      </c>
      <c r="F25" s="2">
        <v>6</v>
      </c>
      <c r="G25" s="6">
        <v>0</v>
      </c>
      <c r="H25" s="4">
        <v>45416</v>
      </c>
      <c r="I25" s="7">
        <v>176.59</v>
      </c>
      <c r="J25" s="7">
        <f>I25+E25*(G25-'What-If Analysis'!$B$4)</f>
        <v>105.953</v>
      </c>
      <c r="K25">
        <f t="shared" si="0"/>
        <v>5</v>
      </c>
      <c r="L25" t="str">
        <f t="shared" si="1"/>
        <v>2024-05</v>
      </c>
      <c r="M25" s="5">
        <f t="shared" ca="1" si="2"/>
        <v>46324.534849537034</v>
      </c>
      <c r="N25">
        <f t="shared" si="3"/>
        <v>165</v>
      </c>
    </row>
    <row r="26" spans="1:14" ht="15.75" customHeight="1" x14ac:dyDescent="0.25">
      <c r="A26" s="2" t="s">
        <v>13</v>
      </c>
      <c r="B26" s="2" t="s">
        <v>31</v>
      </c>
      <c r="C26" s="2" t="s">
        <v>34</v>
      </c>
      <c r="D26" s="2" t="s">
        <v>39</v>
      </c>
      <c r="E26">
        <v>925.31</v>
      </c>
      <c r="F26" s="2">
        <v>8</v>
      </c>
      <c r="G26" s="6">
        <v>0.1</v>
      </c>
      <c r="H26" s="4">
        <v>45418</v>
      </c>
      <c r="I26" s="7">
        <v>374.75</v>
      </c>
      <c r="J26" s="7">
        <f>I26+E26*(G26-'What-If Analysis'!$B$4)</f>
        <v>374.75</v>
      </c>
      <c r="K26">
        <f t="shared" si="0"/>
        <v>5</v>
      </c>
      <c r="L26" t="str">
        <f t="shared" si="1"/>
        <v>2024-05</v>
      </c>
      <c r="M26" s="5">
        <f t="shared" ca="1" si="2"/>
        <v>46324.534849537034</v>
      </c>
      <c r="N26">
        <f t="shared" si="3"/>
        <v>113</v>
      </c>
    </row>
    <row r="27" spans="1:14" ht="15.75" customHeight="1" x14ac:dyDescent="0.25">
      <c r="A27" s="2" t="s">
        <v>35</v>
      </c>
      <c r="B27" s="2" t="s">
        <v>50</v>
      </c>
      <c r="C27" s="2" t="s">
        <v>20</v>
      </c>
      <c r="D27" s="2" t="s">
        <v>21</v>
      </c>
      <c r="E27">
        <v>1173.1199999999999</v>
      </c>
      <c r="F27" s="2">
        <v>18</v>
      </c>
      <c r="G27" s="6">
        <v>0</v>
      </c>
      <c r="H27" s="4">
        <v>45418</v>
      </c>
      <c r="I27" s="7">
        <v>293.27999999999997</v>
      </c>
      <c r="J27" s="7">
        <f>I27+E27*(G27-'What-If Analysis'!$B$4)</f>
        <v>175.96799999999996</v>
      </c>
      <c r="K27">
        <f t="shared" si="0"/>
        <v>5</v>
      </c>
      <c r="L27" t="str">
        <f t="shared" si="1"/>
        <v>2024-05</v>
      </c>
      <c r="M27" s="5">
        <f t="shared" ca="1" si="2"/>
        <v>46324.534849537034</v>
      </c>
      <c r="N27">
        <f t="shared" si="3"/>
        <v>50</v>
      </c>
    </row>
    <row r="28" spans="1:14" ht="15.75" customHeight="1" x14ac:dyDescent="0.25">
      <c r="A28" s="2" t="s">
        <v>22</v>
      </c>
      <c r="B28" s="2" t="s">
        <v>51</v>
      </c>
      <c r="C28" s="2" t="s">
        <v>24</v>
      </c>
      <c r="D28" s="2" t="s">
        <v>27</v>
      </c>
      <c r="E28">
        <v>675.54</v>
      </c>
      <c r="F28" s="2">
        <v>17</v>
      </c>
      <c r="G28" s="6">
        <v>0</v>
      </c>
      <c r="H28" s="4">
        <v>45420</v>
      </c>
      <c r="I28" s="7">
        <v>236.44</v>
      </c>
      <c r="J28" s="7">
        <f>I28+E28*(G28-'What-If Analysis'!$B$4)</f>
        <v>168.886</v>
      </c>
      <c r="K28">
        <f t="shared" si="0"/>
        <v>5</v>
      </c>
      <c r="L28" t="str">
        <f t="shared" si="1"/>
        <v>2024-05</v>
      </c>
      <c r="M28" s="5">
        <f t="shared" ca="1" si="2"/>
        <v>46324.534849537034</v>
      </c>
      <c r="N28">
        <f t="shared" si="3"/>
        <v>172</v>
      </c>
    </row>
    <row r="29" spans="1:14" ht="15.75" customHeight="1" x14ac:dyDescent="0.25">
      <c r="A29" s="2" t="s">
        <v>25</v>
      </c>
      <c r="B29" s="2" t="s">
        <v>14</v>
      </c>
      <c r="C29" s="2" t="s">
        <v>34</v>
      </c>
      <c r="D29" s="2" t="s">
        <v>12</v>
      </c>
      <c r="E29">
        <v>939.09</v>
      </c>
      <c r="F29" s="2">
        <v>2</v>
      </c>
      <c r="G29" s="6">
        <v>0.05</v>
      </c>
      <c r="H29" s="4">
        <v>45422</v>
      </c>
      <c r="I29" s="7">
        <v>356.85</v>
      </c>
      <c r="J29" s="7">
        <f>I29+E29*(G29-'What-If Analysis'!$B$4)</f>
        <v>309.89550000000003</v>
      </c>
      <c r="K29">
        <f t="shared" si="0"/>
        <v>5</v>
      </c>
      <c r="L29" t="str">
        <f t="shared" si="1"/>
        <v>2024-05</v>
      </c>
      <c r="M29" s="5">
        <f t="shared" ca="1" si="2"/>
        <v>46324.534849537034</v>
      </c>
      <c r="N29">
        <f t="shared" si="3"/>
        <v>109</v>
      </c>
    </row>
    <row r="30" spans="1:14" ht="15.75" customHeight="1" x14ac:dyDescent="0.25">
      <c r="A30" s="2" t="s">
        <v>52</v>
      </c>
      <c r="B30" s="2" t="s">
        <v>53</v>
      </c>
      <c r="C30" s="2" t="s">
        <v>18</v>
      </c>
      <c r="D30" s="2" t="s">
        <v>39</v>
      </c>
      <c r="E30">
        <v>983.34</v>
      </c>
      <c r="F30" s="2">
        <v>19</v>
      </c>
      <c r="G30" s="6">
        <v>0.1</v>
      </c>
      <c r="H30" s="4">
        <v>45426</v>
      </c>
      <c r="I30" s="7">
        <v>398.25</v>
      </c>
      <c r="J30" s="7">
        <f>I30+E30*(G30-'What-If Analysis'!$B$4)</f>
        <v>398.25</v>
      </c>
      <c r="K30">
        <f t="shared" si="0"/>
        <v>5</v>
      </c>
      <c r="L30" t="str">
        <f t="shared" si="1"/>
        <v>2024-05</v>
      </c>
      <c r="M30" s="5">
        <f t="shared" ca="1" si="2"/>
        <v>46324.534849537034</v>
      </c>
      <c r="N30">
        <f t="shared" si="3"/>
        <v>98</v>
      </c>
    </row>
    <row r="31" spans="1:14" ht="15.75" customHeight="1" x14ac:dyDescent="0.25">
      <c r="A31" s="2" t="s">
        <v>52</v>
      </c>
      <c r="B31" s="2" t="s">
        <v>23</v>
      </c>
      <c r="C31" s="2" t="s">
        <v>20</v>
      </c>
      <c r="D31" s="2" t="s">
        <v>21</v>
      </c>
      <c r="E31">
        <v>801.21</v>
      </c>
      <c r="F31" s="2">
        <v>3</v>
      </c>
      <c r="G31" s="6">
        <v>0.2</v>
      </c>
      <c r="H31" s="4">
        <v>45426</v>
      </c>
      <c r="I31" s="7">
        <v>160.24</v>
      </c>
      <c r="J31" s="7">
        <f>I31+E31*(G31-'What-If Analysis'!$B$4)</f>
        <v>240.36100000000002</v>
      </c>
      <c r="K31">
        <f t="shared" si="0"/>
        <v>5</v>
      </c>
      <c r="L31" t="str">
        <f t="shared" si="1"/>
        <v>2024-05</v>
      </c>
      <c r="M31" s="5">
        <f t="shared" ca="1" si="2"/>
        <v>46324.534849537034</v>
      </c>
      <c r="N31">
        <f t="shared" si="3"/>
        <v>145</v>
      </c>
    </row>
    <row r="32" spans="1:14" ht="15.75" customHeight="1" x14ac:dyDescent="0.25">
      <c r="A32" s="2" t="s">
        <v>54</v>
      </c>
      <c r="B32" s="2" t="s">
        <v>55</v>
      </c>
      <c r="C32" s="2" t="s">
        <v>24</v>
      </c>
      <c r="D32" s="2" t="s">
        <v>21</v>
      </c>
      <c r="E32">
        <v>1450.71</v>
      </c>
      <c r="F32" s="2">
        <v>5</v>
      </c>
      <c r="G32" s="6">
        <v>0.1</v>
      </c>
      <c r="H32" s="4">
        <v>45427</v>
      </c>
      <c r="I32" s="7">
        <v>326.41000000000003</v>
      </c>
      <c r="J32" s="7">
        <f>I32+E32*(G32-'What-If Analysis'!$B$4)</f>
        <v>326.41000000000003</v>
      </c>
      <c r="K32">
        <f t="shared" si="0"/>
        <v>5</v>
      </c>
      <c r="L32" t="str">
        <f t="shared" si="1"/>
        <v>2024-05</v>
      </c>
      <c r="M32" s="5">
        <f t="shared" ca="1" si="2"/>
        <v>46324.534849537034</v>
      </c>
      <c r="N32">
        <f t="shared" si="3"/>
        <v>14</v>
      </c>
    </row>
    <row r="33" spans="1:14" ht="15.75" customHeight="1" x14ac:dyDescent="0.25">
      <c r="A33" s="2" t="s">
        <v>49</v>
      </c>
      <c r="B33" s="2" t="s">
        <v>56</v>
      </c>
      <c r="C33" s="2" t="s">
        <v>34</v>
      </c>
      <c r="D33" s="2" t="s">
        <v>12</v>
      </c>
      <c r="E33">
        <v>1023.21</v>
      </c>
      <c r="F33" s="2">
        <v>18</v>
      </c>
      <c r="G33" s="6">
        <v>0.05</v>
      </c>
      <c r="H33" s="4">
        <v>45428</v>
      </c>
      <c r="I33" s="7">
        <v>388.82</v>
      </c>
      <c r="J33" s="7">
        <f>I33+E33*(G33-'What-If Analysis'!$B$4)</f>
        <v>337.65949999999998</v>
      </c>
      <c r="K33">
        <f t="shared" si="0"/>
        <v>5</v>
      </c>
      <c r="L33" t="str">
        <f t="shared" si="1"/>
        <v>2024-05</v>
      </c>
      <c r="M33" s="5">
        <f t="shared" ca="1" si="2"/>
        <v>46324.534849537034</v>
      </c>
      <c r="N33">
        <f t="shared" si="3"/>
        <v>84</v>
      </c>
    </row>
    <row r="34" spans="1:14" ht="15.75" customHeight="1" x14ac:dyDescent="0.25">
      <c r="A34" s="2" t="s">
        <v>28</v>
      </c>
      <c r="B34" s="2" t="s">
        <v>47</v>
      </c>
      <c r="C34" s="2" t="s">
        <v>11</v>
      </c>
      <c r="D34" s="2" t="s">
        <v>27</v>
      </c>
      <c r="E34">
        <v>853.72</v>
      </c>
      <c r="F34" s="2">
        <v>5</v>
      </c>
      <c r="G34" s="6">
        <v>0.15</v>
      </c>
      <c r="H34" s="4">
        <v>45428</v>
      </c>
      <c r="I34" s="7">
        <v>253.98</v>
      </c>
      <c r="J34" s="7">
        <f>I34+E34*(G34-'What-If Analysis'!$B$4)</f>
        <v>296.666</v>
      </c>
      <c r="K34">
        <f t="shared" ref="K34:K65" si="4">MONTH(H34)</f>
        <v>5</v>
      </c>
      <c r="L34" t="str">
        <f t="shared" ref="L34:L65" si="5">TEXT(H34,"yyyy-mm")</f>
        <v>2024-05</v>
      </c>
      <c r="M34" s="5">
        <f t="shared" ref="M34:M65" ca="1" si="6">NOW()</f>
        <v>46324.534849537034</v>
      </c>
      <c r="N34">
        <f t="shared" ref="N34:N65" si="7">_xlfn.RANK.EQ(E34,$E$2:$E$201,0)</f>
        <v>130</v>
      </c>
    </row>
    <row r="35" spans="1:14" ht="15.75" customHeight="1" x14ac:dyDescent="0.25">
      <c r="A35" s="2" t="s">
        <v>57</v>
      </c>
      <c r="B35" s="2" t="s">
        <v>43</v>
      </c>
      <c r="C35" s="2" t="s">
        <v>20</v>
      </c>
      <c r="D35" s="2" t="s">
        <v>21</v>
      </c>
      <c r="E35">
        <v>967.89</v>
      </c>
      <c r="F35" s="2">
        <v>10</v>
      </c>
      <c r="G35" s="6">
        <v>0.1</v>
      </c>
      <c r="H35" s="4">
        <v>45429</v>
      </c>
      <c r="I35" s="7">
        <v>217.78</v>
      </c>
      <c r="J35" s="7">
        <f>I35+E35*(G35-'What-If Analysis'!$B$4)</f>
        <v>217.78</v>
      </c>
      <c r="K35">
        <f t="shared" si="4"/>
        <v>5</v>
      </c>
      <c r="L35" t="str">
        <f t="shared" si="5"/>
        <v>2024-05</v>
      </c>
      <c r="M35" s="5">
        <f t="shared" ca="1" si="6"/>
        <v>46324.534849537034</v>
      </c>
      <c r="N35">
        <f t="shared" si="7"/>
        <v>102</v>
      </c>
    </row>
    <row r="36" spans="1:14" ht="15.75" customHeight="1" x14ac:dyDescent="0.25">
      <c r="A36" s="2" t="s">
        <v>58</v>
      </c>
      <c r="B36" s="2" t="s">
        <v>53</v>
      </c>
      <c r="C36" s="2" t="s">
        <v>24</v>
      </c>
      <c r="D36" s="2" t="s">
        <v>39</v>
      </c>
      <c r="E36">
        <v>1200.9000000000001</v>
      </c>
      <c r="F36" s="2">
        <v>14</v>
      </c>
      <c r="G36" s="6">
        <v>0.05</v>
      </c>
      <c r="H36" s="4">
        <v>45429</v>
      </c>
      <c r="I36" s="7">
        <v>513.38</v>
      </c>
      <c r="J36" s="7">
        <f>I36+E36*(G36-'What-If Analysis'!$B$4)</f>
        <v>453.33499999999998</v>
      </c>
      <c r="K36">
        <f t="shared" si="4"/>
        <v>5</v>
      </c>
      <c r="L36" t="str">
        <f t="shared" si="5"/>
        <v>2024-05</v>
      </c>
      <c r="M36" s="5">
        <f t="shared" ca="1" si="6"/>
        <v>46324.534849537034</v>
      </c>
      <c r="N36">
        <f t="shared" si="7"/>
        <v>44</v>
      </c>
    </row>
    <row r="37" spans="1:14" ht="15.75" customHeight="1" x14ac:dyDescent="0.25">
      <c r="A37" s="2" t="s">
        <v>13</v>
      </c>
      <c r="B37" s="2" t="s">
        <v>26</v>
      </c>
      <c r="C37" s="2" t="s">
        <v>11</v>
      </c>
      <c r="D37" s="2" t="s">
        <v>12</v>
      </c>
      <c r="E37">
        <v>472.38</v>
      </c>
      <c r="F37" s="2">
        <v>12</v>
      </c>
      <c r="G37" s="6">
        <v>0.2</v>
      </c>
      <c r="H37" s="4">
        <v>45429</v>
      </c>
      <c r="I37" s="7">
        <v>151.16</v>
      </c>
      <c r="J37" s="7">
        <f>I37+E37*(G37-'What-If Analysis'!$B$4)</f>
        <v>198.398</v>
      </c>
      <c r="K37">
        <f t="shared" si="4"/>
        <v>5</v>
      </c>
      <c r="L37" t="str">
        <f t="shared" si="5"/>
        <v>2024-05</v>
      </c>
      <c r="M37" s="5">
        <f t="shared" ca="1" si="6"/>
        <v>46324.534849537034</v>
      </c>
      <c r="N37">
        <f t="shared" si="7"/>
        <v>192</v>
      </c>
    </row>
    <row r="38" spans="1:14" ht="15.75" customHeight="1" x14ac:dyDescent="0.25">
      <c r="A38" s="2" t="s">
        <v>9</v>
      </c>
      <c r="B38" s="2" t="s">
        <v>55</v>
      </c>
      <c r="C38" s="2" t="s">
        <v>18</v>
      </c>
      <c r="D38" s="2" t="s">
        <v>39</v>
      </c>
      <c r="E38">
        <v>840.92</v>
      </c>
      <c r="F38" s="2">
        <v>9</v>
      </c>
      <c r="G38" s="6">
        <v>0.05</v>
      </c>
      <c r="H38" s="4">
        <v>45429</v>
      </c>
      <c r="I38" s="7">
        <v>359.49</v>
      </c>
      <c r="J38" s="7">
        <f>I38+E38*(G38-'What-If Analysis'!$B$4)</f>
        <v>317.44400000000002</v>
      </c>
      <c r="K38">
        <f t="shared" si="4"/>
        <v>5</v>
      </c>
      <c r="L38" t="str">
        <f t="shared" si="5"/>
        <v>2024-05</v>
      </c>
      <c r="M38" s="5">
        <f t="shared" ca="1" si="6"/>
        <v>46324.534849537034</v>
      </c>
      <c r="N38">
        <f t="shared" si="7"/>
        <v>133</v>
      </c>
    </row>
    <row r="39" spans="1:14" ht="15.75" customHeight="1" x14ac:dyDescent="0.25">
      <c r="A39" s="2" t="s">
        <v>52</v>
      </c>
      <c r="B39" s="2" t="s">
        <v>48</v>
      </c>
      <c r="C39" s="2" t="s">
        <v>34</v>
      </c>
      <c r="D39" s="2" t="s">
        <v>27</v>
      </c>
      <c r="E39">
        <v>1410.06</v>
      </c>
      <c r="F39" s="2">
        <v>11</v>
      </c>
      <c r="G39" s="6">
        <v>0.05</v>
      </c>
      <c r="H39" s="4">
        <v>45434</v>
      </c>
      <c r="I39" s="7">
        <v>468.84</v>
      </c>
      <c r="J39" s="7">
        <f>I39+E39*(G39-'What-If Analysis'!$B$4)</f>
        <v>398.33699999999999</v>
      </c>
      <c r="K39">
        <f t="shared" si="4"/>
        <v>5</v>
      </c>
      <c r="L39" t="str">
        <f t="shared" si="5"/>
        <v>2024-05</v>
      </c>
      <c r="M39" s="5">
        <f t="shared" ca="1" si="6"/>
        <v>46324.534849537034</v>
      </c>
      <c r="N39">
        <f t="shared" si="7"/>
        <v>18</v>
      </c>
    </row>
    <row r="40" spans="1:14" ht="15.75" customHeight="1" x14ac:dyDescent="0.25">
      <c r="A40" s="2" t="s">
        <v>44</v>
      </c>
      <c r="B40" s="2" t="s">
        <v>59</v>
      </c>
      <c r="C40" s="2" t="s">
        <v>34</v>
      </c>
      <c r="D40" s="2" t="s">
        <v>27</v>
      </c>
      <c r="E40">
        <v>773.09</v>
      </c>
      <c r="F40" s="2">
        <v>13</v>
      </c>
      <c r="G40" s="6">
        <v>0.15</v>
      </c>
      <c r="H40" s="4">
        <v>45434</v>
      </c>
      <c r="I40" s="7">
        <v>229.99</v>
      </c>
      <c r="J40" s="7">
        <f>I40+E40*(G40-'What-If Analysis'!$B$4)</f>
        <v>268.64449999999999</v>
      </c>
      <c r="K40">
        <f t="shared" si="4"/>
        <v>5</v>
      </c>
      <c r="L40" t="str">
        <f t="shared" si="5"/>
        <v>2024-05</v>
      </c>
      <c r="M40" s="5">
        <f t="shared" ca="1" si="6"/>
        <v>46324.534849537034</v>
      </c>
      <c r="N40">
        <f t="shared" si="7"/>
        <v>148</v>
      </c>
    </row>
    <row r="41" spans="1:14" ht="15.75" customHeight="1" x14ac:dyDescent="0.25">
      <c r="A41" s="2" t="s">
        <v>60</v>
      </c>
      <c r="B41" s="2" t="s">
        <v>61</v>
      </c>
      <c r="C41" s="2" t="s">
        <v>18</v>
      </c>
      <c r="D41" s="2" t="s">
        <v>12</v>
      </c>
      <c r="E41">
        <v>580.42999999999995</v>
      </c>
      <c r="F41" s="2">
        <v>19</v>
      </c>
      <c r="G41" s="6">
        <v>0.15</v>
      </c>
      <c r="H41" s="4">
        <v>45435</v>
      </c>
      <c r="I41" s="7">
        <v>197.35</v>
      </c>
      <c r="J41" s="7">
        <f>I41+E41*(G41-'What-If Analysis'!$B$4)</f>
        <v>226.3715</v>
      </c>
      <c r="K41">
        <f t="shared" si="4"/>
        <v>5</v>
      </c>
      <c r="L41" t="str">
        <f t="shared" si="5"/>
        <v>2024-05</v>
      </c>
      <c r="M41" s="5">
        <f t="shared" ca="1" si="6"/>
        <v>46324.534849537034</v>
      </c>
      <c r="N41">
        <f t="shared" si="7"/>
        <v>181</v>
      </c>
    </row>
    <row r="42" spans="1:14" ht="15.75" customHeight="1" x14ac:dyDescent="0.25">
      <c r="A42" s="2" t="s">
        <v>19</v>
      </c>
      <c r="B42" s="2" t="s">
        <v>42</v>
      </c>
      <c r="C42" s="2" t="s">
        <v>20</v>
      </c>
      <c r="D42" s="2" t="s">
        <v>12</v>
      </c>
      <c r="E42">
        <v>1151.21</v>
      </c>
      <c r="F42" s="2">
        <v>15</v>
      </c>
      <c r="G42" s="6">
        <v>0.1</v>
      </c>
      <c r="H42" s="4">
        <v>45445</v>
      </c>
      <c r="I42" s="7">
        <v>414.44</v>
      </c>
      <c r="J42" s="7">
        <f>I42+E42*(G42-'What-If Analysis'!$B$4)</f>
        <v>414.44</v>
      </c>
      <c r="K42">
        <f t="shared" si="4"/>
        <v>6</v>
      </c>
      <c r="L42" t="str">
        <f t="shared" si="5"/>
        <v>2024-06</v>
      </c>
      <c r="M42" s="5">
        <f t="shared" ca="1" si="6"/>
        <v>46324.534849537034</v>
      </c>
      <c r="N42">
        <f t="shared" si="7"/>
        <v>58</v>
      </c>
    </row>
    <row r="43" spans="1:14" ht="15.75" customHeight="1" x14ac:dyDescent="0.25">
      <c r="A43" s="2" t="s">
        <v>52</v>
      </c>
      <c r="B43" s="2" t="s">
        <v>23</v>
      </c>
      <c r="C43" s="2" t="s">
        <v>34</v>
      </c>
      <c r="D43" s="2" t="s">
        <v>39</v>
      </c>
      <c r="E43">
        <v>1025.98</v>
      </c>
      <c r="F43" s="2">
        <v>5</v>
      </c>
      <c r="G43" s="6">
        <v>0.2</v>
      </c>
      <c r="H43" s="4">
        <v>45447</v>
      </c>
      <c r="I43" s="7">
        <v>369.35</v>
      </c>
      <c r="J43" s="7">
        <f>I43+E43*(G43-'What-If Analysis'!$B$4)</f>
        <v>471.94800000000004</v>
      </c>
      <c r="K43">
        <f t="shared" si="4"/>
        <v>6</v>
      </c>
      <c r="L43" t="str">
        <f t="shared" si="5"/>
        <v>2024-06</v>
      </c>
      <c r="M43" s="5">
        <f t="shared" ca="1" si="6"/>
        <v>46324.534849537034</v>
      </c>
      <c r="N43">
        <f t="shared" si="7"/>
        <v>83</v>
      </c>
    </row>
    <row r="44" spans="1:14" ht="15.75" customHeight="1" x14ac:dyDescent="0.25">
      <c r="A44" s="2" t="s">
        <v>40</v>
      </c>
      <c r="B44" s="2" t="s">
        <v>56</v>
      </c>
      <c r="C44" s="2" t="s">
        <v>18</v>
      </c>
      <c r="D44" s="2" t="s">
        <v>39</v>
      </c>
      <c r="E44">
        <v>556.41999999999996</v>
      </c>
      <c r="F44" s="2">
        <v>11</v>
      </c>
      <c r="G44" s="6">
        <v>0.15</v>
      </c>
      <c r="H44" s="4">
        <v>45447</v>
      </c>
      <c r="I44" s="7">
        <v>212.83</v>
      </c>
      <c r="J44" s="7">
        <f>I44+E44*(G44-'What-If Analysis'!$B$4)</f>
        <v>240.65100000000001</v>
      </c>
      <c r="K44">
        <f t="shared" si="4"/>
        <v>6</v>
      </c>
      <c r="L44" t="str">
        <f t="shared" si="5"/>
        <v>2024-06</v>
      </c>
      <c r="M44" s="5">
        <f t="shared" ca="1" si="6"/>
        <v>46324.534849537034</v>
      </c>
      <c r="N44">
        <f t="shared" si="7"/>
        <v>183</v>
      </c>
    </row>
    <row r="45" spans="1:14" ht="15.75" customHeight="1" x14ac:dyDescent="0.25">
      <c r="A45" s="2" t="s">
        <v>57</v>
      </c>
      <c r="B45" s="2" t="s">
        <v>23</v>
      </c>
      <c r="C45" s="2" t="s">
        <v>34</v>
      </c>
      <c r="D45" s="2" t="s">
        <v>12</v>
      </c>
      <c r="E45">
        <v>840.85</v>
      </c>
      <c r="F45" s="2">
        <v>19</v>
      </c>
      <c r="G45" s="6">
        <v>0.1</v>
      </c>
      <c r="H45" s="4">
        <v>45448</v>
      </c>
      <c r="I45" s="7">
        <v>302.70999999999998</v>
      </c>
      <c r="J45" s="7">
        <f>I45+E45*(G45-'What-If Analysis'!$B$4)</f>
        <v>302.70999999999998</v>
      </c>
      <c r="K45">
        <f t="shared" si="4"/>
        <v>6</v>
      </c>
      <c r="L45" t="str">
        <f t="shared" si="5"/>
        <v>2024-06</v>
      </c>
      <c r="M45" s="5">
        <f t="shared" ca="1" si="6"/>
        <v>46324.534849537034</v>
      </c>
      <c r="N45">
        <f t="shared" si="7"/>
        <v>134</v>
      </c>
    </row>
    <row r="46" spans="1:14" ht="15.75" customHeight="1" x14ac:dyDescent="0.25">
      <c r="A46" s="2" t="s">
        <v>30</v>
      </c>
      <c r="B46" s="2" t="s">
        <v>61</v>
      </c>
      <c r="C46" s="2" t="s">
        <v>24</v>
      </c>
      <c r="D46" s="2" t="s">
        <v>27</v>
      </c>
      <c r="E46">
        <v>1227.25</v>
      </c>
      <c r="F46" s="2">
        <v>12</v>
      </c>
      <c r="G46" s="6">
        <v>0.15</v>
      </c>
      <c r="H46" s="4">
        <v>45448</v>
      </c>
      <c r="I46" s="7">
        <v>365.11</v>
      </c>
      <c r="J46" s="7">
        <f>I46+E46*(G46-'What-If Analysis'!$B$4)</f>
        <v>426.47249999999997</v>
      </c>
      <c r="K46">
        <f t="shared" si="4"/>
        <v>6</v>
      </c>
      <c r="L46" t="str">
        <f t="shared" si="5"/>
        <v>2024-06</v>
      </c>
      <c r="M46" s="5">
        <f t="shared" ca="1" si="6"/>
        <v>46324.534849537034</v>
      </c>
      <c r="N46">
        <f t="shared" si="7"/>
        <v>38</v>
      </c>
    </row>
    <row r="47" spans="1:14" ht="15.75" customHeight="1" x14ac:dyDescent="0.25">
      <c r="A47" s="2" t="s">
        <v>16</v>
      </c>
      <c r="B47" s="2" t="s">
        <v>62</v>
      </c>
      <c r="C47" s="2" t="s">
        <v>34</v>
      </c>
      <c r="D47" s="2" t="s">
        <v>21</v>
      </c>
      <c r="E47">
        <v>856.7</v>
      </c>
      <c r="F47" s="2">
        <v>2</v>
      </c>
      <c r="G47" s="6">
        <v>0</v>
      </c>
      <c r="H47" s="4">
        <v>45449</v>
      </c>
      <c r="I47" s="7">
        <v>214.18</v>
      </c>
      <c r="J47" s="7">
        <f>I47+E47*(G47-'What-If Analysis'!$B$4)</f>
        <v>128.51</v>
      </c>
      <c r="K47">
        <f t="shared" si="4"/>
        <v>6</v>
      </c>
      <c r="L47" t="str">
        <f t="shared" si="5"/>
        <v>2024-06</v>
      </c>
      <c r="M47" s="5">
        <f t="shared" ca="1" si="6"/>
        <v>46324.534849537034</v>
      </c>
      <c r="N47">
        <f t="shared" si="7"/>
        <v>128</v>
      </c>
    </row>
    <row r="48" spans="1:14" ht="15.75" customHeight="1" x14ac:dyDescent="0.25">
      <c r="A48" s="2" t="s">
        <v>54</v>
      </c>
      <c r="B48" s="2" t="s">
        <v>56</v>
      </c>
      <c r="C48" s="2" t="s">
        <v>34</v>
      </c>
      <c r="D48" s="2" t="s">
        <v>39</v>
      </c>
      <c r="E48">
        <v>1225.42</v>
      </c>
      <c r="F48" s="2">
        <v>8</v>
      </c>
      <c r="G48" s="6">
        <v>0.15</v>
      </c>
      <c r="H48" s="4">
        <v>45449</v>
      </c>
      <c r="I48" s="7">
        <v>468.72</v>
      </c>
      <c r="J48" s="7">
        <f>I48+E48*(G48-'What-If Analysis'!$B$4)</f>
        <v>529.99099999999999</v>
      </c>
      <c r="K48">
        <f t="shared" si="4"/>
        <v>6</v>
      </c>
      <c r="L48" t="str">
        <f t="shared" si="5"/>
        <v>2024-06</v>
      </c>
      <c r="M48" s="5">
        <f t="shared" ca="1" si="6"/>
        <v>46324.534849537034</v>
      </c>
      <c r="N48">
        <f t="shared" si="7"/>
        <v>40</v>
      </c>
    </row>
    <row r="49" spans="1:14" ht="15.75" customHeight="1" x14ac:dyDescent="0.25">
      <c r="A49" s="2" t="s">
        <v>63</v>
      </c>
      <c r="B49" s="2" t="s">
        <v>31</v>
      </c>
      <c r="C49" s="2" t="s">
        <v>24</v>
      </c>
      <c r="D49" s="2" t="s">
        <v>39</v>
      </c>
      <c r="E49">
        <v>1001.57</v>
      </c>
      <c r="F49" s="2">
        <v>12</v>
      </c>
      <c r="G49" s="6">
        <v>0</v>
      </c>
      <c r="H49" s="4">
        <v>45450</v>
      </c>
      <c r="I49" s="7">
        <v>450.71</v>
      </c>
      <c r="J49" s="7">
        <f>I49+E49*(G49-'What-If Analysis'!$B$4)</f>
        <v>350.553</v>
      </c>
      <c r="K49">
        <f t="shared" si="4"/>
        <v>6</v>
      </c>
      <c r="L49" t="str">
        <f t="shared" si="5"/>
        <v>2024-06</v>
      </c>
      <c r="M49" s="5">
        <f t="shared" ca="1" si="6"/>
        <v>46324.534849537034</v>
      </c>
      <c r="N49">
        <f t="shared" si="7"/>
        <v>94</v>
      </c>
    </row>
    <row r="50" spans="1:14" ht="15.75" customHeight="1" x14ac:dyDescent="0.25">
      <c r="A50" s="2" t="s">
        <v>57</v>
      </c>
      <c r="B50" s="2" t="s">
        <v>26</v>
      </c>
      <c r="C50" s="2" t="s">
        <v>18</v>
      </c>
      <c r="D50" s="2" t="s">
        <v>27</v>
      </c>
      <c r="E50">
        <v>1186.8499999999999</v>
      </c>
      <c r="F50" s="2">
        <v>19</v>
      </c>
      <c r="G50" s="6">
        <v>0.2</v>
      </c>
      <c r="H50" s="4">
        <v>45451</v>
      </c>
      <c r="I50" s="7">
        <v>332.32</v>
      </c>
      <c r="J50" s="7">
        <f>I50+E50*(G50-'What-If Analysis'!$B$4)</f>
        <v>451.005</v>
      </c>
      <c r="K50">
        <f t="shared" si="4"/>
        <v>6</v>
      </c>
      <c r="L50" t="str">
        <f t="shared" si="5"/>
        <v>2024-06</v>
      </c>
      <c r="M50" s="5">
        <f t="shared" ca="1" si="6"/>
        <v>46324.534849537034</v>
      </c>
      <c r="N50">
        <f t="shared" si="7"/>
        <v>48</v>
      </c>
    </row>
    <row r="51" spans="1:14" ht="15.75" customHeight="1" x14ac:dyDescent="0.25">
      <c r="A51" s="2" t="s">
        <v>44</v>
      </c>
      <c r="B51" s="2" t="s">
        <v>51</v>
      </c>
      <c r="C51" s="2" t="s">
        <v>20</v>
      </c>
      <c r="D51" s="2" t="s">
        <v>21</v>
      </c>
      <c r="E51">
        <v>775.45</v>
      </c>
      <c r="F51" s="2">
        <v>6</v>
      </c>
      <c r="G51" s="6">
        <v>0.1</v>
      </c>
      <c r="H51" s="4">
        <v>45457</v>
      </c>
      <c r="I51" s="7">
        <v>174.48</v>
      </c>
      <c r="J51" s="7">
        <f>I51+E51*(G51-'What-If Analysis'!$B$4)</f>
        <v>174.48</v>
      </c>
      <c r="K51">
        <f t="shared" si="4"/>
        <v>6</v>
      </c>
      <c r="L51" t="str">
        <f t="shared" si="5"/>
        <v>2024-06</v>
      </c>
      <c r="M51" s="5">
        <f t="shared" ca="1" si="6"/>
        <v>46324.534849537034</v>
      </c>
      <c r="N51">
        <f t="shared" si="7"/>
        <v>147</v>
      </c>
    </row>
    <row r="52" spans="1:14" ht="15.75" customHeight="1" x14ac:dyDescent="0.25">
      <c r="A52" s="2" t="s">
        <v>25</v>
      </c>
      <c r="B52" s="2" t="s">
        <v>33</v>
      </c>
      <c r="C52" s="2" t="s">
        <v>20</v>
      </c>
      <c r="D52" s="2" t="s">
        <v>21</v>
      </c>
      <c r="E52">
        <v>1021.47</v>
      </c>
      <c r="F52" s="2">
        <v>6</v>
      </c>
      <c r="G52" s="6">
        <v>0.05</v>
      </c>
      <c r="H52" s="4">
        <v>45461</v>
      </c>
      <c r="I52" s="7">
        <v>242.6</v>
      </c>
      <c r="J52" s="7">
        <f>I52+E52*(G52-'What-If Analysis'!$B$4)</f>
        <v>191.5265</v>
      </c>
      <c r="K52">
        <f t="shared" si="4"/>
        <v>6</v>
      </c>
      <c r="L52" t="str">
        <f t="shared" si="5"/>
        <v>2024-06</v>
      </c>
      <c r="M52" s="5">
        <f t="shared" ca="1" si="6"/>
        <v>46324.534849537034</v>
      </c>
      <c r="N52">
        <f t="shared" si="7"/>
        <v>86</v>
      </c>
    </row>
    <row r="53" spans="1:14" ht="15.75" customHeight="1" x14ac:dyDescent="0.25">
      <c r="A53" s="2" t="s">
        <v>58</v>
      </c>
      <c r="B53" s="2" t="s">
        <v>23</v>
      </c>
      <c r="C53" s="2" t="s">
        <v>20</v>
      </c>
      <c r="D53" s="2" t="s">
        <v>15</v>
      </c>
      <c r="E53">
        <v>1226.6199999999999</v>
      </c>
      <c r="F53" s="2">
        <v>7</v>
      </c>
      <c r="G53" s="6">
        <v>0.1</v>
      </c>
      <c r="H53" s="4">
        <v>45463</v>
      </c>
      <c r="I53" s="7">
        <v>551.98</v>
      </c>
      <c r="J53" s="7">
        <f>I53+E53*(G53-'What-If Analysis'!$B$4)</f>
        <v>551.98</v>
      </c>
      <c r="K53">
        <f t="shared" si="4"/>
        <v>6</v>
      </c>
      <c r="L53" t="str">
        <f t="shared" si="5"/>
        <v>2024-06</v>
      </c>
      <c r="M53" s="5">
        <f t="shared" ca="1" si="6"/>
        <v>46324.534849537034</v>
      </c>
      <c r="N53">
        <f t="shared" si="7"/>
        <v>39</v>
      </c>
    </row>
    <row r="54" spans="1:14" ht="15.75" customHeight="1" x14ac:dyDescent="0.25">
      <c r="A54" s="2" t="s">
        <v>22</v>
      </c>
      <c r="B54" s="2" t="s">
        <v>64</v>
      </c>
      <c r="C54" s="2" t="s">
        <v>20</v>
      </c>
      <c r="D54" s="2" t="s">
        <v>27</v>
      </c>
      <c r="E54">
        <v>1086.93</v>
      </c>
      <c r="F54" s="2">
        <v>2</v>
      </c>
      <c r="G54" s="6">
        <v>0</v>
      </c>
      <c r="H54" s="4">
        <v>45464</v>
      </c>
      <c r="I54" s="7">
        <v>380.43</v>
      </c>
      <c r="J54" s="7">
        <f>I54+E54*(G54-'What-If Analysis'!$B$4)</f>
        <v>271.73699999999997</v>
      </c>
      <c r="K54">
        <f t="shared" si="4"/>
        <v>6</v>
      </c>
      <c r="L54" t="str">
        <f t="shared" si="5"/>
        <v>2024-06</v>
      </c>
      <c r="M54" s="5">
        <f t="shared" ca="1" si="6"/>
        <v>46324.534849537034</v>
      </c>
      <c r="N54">
        <f t="shared" si="7"/>
        <v>71</v>
      </c>
    </row>
    <row r="55" spans="1:14" ht="15.75" customHeight="1" x14ac:dyDescent="0.25">
      <c r="A55" s="2" t="s">
        <v>65</v>
      </c>
      <c r="B55" s="2" t="s">
        <v>48</v>
      </c>
      <c r="C55" s="2" t="s">
        <v>11</v>
      </c>
      <c r="D55" s="2" t="s">
        <v>12</v>
      </c>
      <c r="E55">
        <v>942.9</v>
      </c>
      <c r="F55" s="2">
        <v>18</v>
      </c>
      <c r="G55" s="6">
        <v>0.1</v>
      </c>
      <c r="H55" s="4">
        <v>45466</v>
      </c>
      <c r="I55" s="7">
        <v>339.44</v>
      </c>
      <c r="J55" s="7">
        <f>I55+E55*(G55-'What-If Analysis'!$B$4)</f>
        <v>339.44</v>
      </c>
      <c r="K55">
        <f t="shared" si="4"/>
        <v>6</v>
      </c>
      <c r="L55" t="str">
        <f t="shared" si="5"/>
        <v>2024-06</v>
      </c>
      <c r="M55" s="5">
        <f t="shared" ca="1" si="6"/>
        <v>46324.534849537034</v>
      </c>
      <c r="N55">
        <f t="shared" si="7"/>
        <v>108</v>
      </c>
    </row>
    <row r="56" spans="1:14" ht="15.75" customHeight="1" x14ac:dyDescent="0.25">
      <c r="A56" s="2" t="s">
        <v>32</v>
      </c>
      <c r="B56" s="2" t="s">
        <v>38</v>
      </c>
      <c r="C56" s="2" t="s">
        <v>24</v>
      </c>
      <c r="D56" s="2" t="s">
        <v>21</v>
      </c>
      <c r="E56">
        <v>818.8</v>
      </c>
      <c r="F56" s="2">
        <v>15</v>
      </c>
      <c r="G56" s="6">
        <v>0.15</v>
      </c>
      <c r="H56" s="4">
        <v>45468</v>
      </c>
      <c r="I56" s="7">
        <v>173.99</v>
      </c>
      <c r="J56" s="7">
        <f>I56+E56*(G56-'What-If Analysis'!$B$4)</f>
        <v>214.93</v>
      </c>
      <c r="K56">
        <f t="shared" si="4"/>
        <v>6</v>
      </c>
      <c r="L56" t="str">
        <f t="shared" si="5"/>
        <v>2024-06</v>
      </c>
      <c r="M56" s="5">
        <f t="shared" ca="1" si="6"/>
        <v>46324.534849537034</v>
      </c>
      <c r="N56">
        <f t="shared" si="7"/>
        <v>141</v>
      </c>
    </row>
    <row r="57" spans="1:14" ht="15.75" customHeight="1" x14ac:dyDescent="0.25">
      <c r="A57" s="2" t="s">
        <v>19</v>
      </c>
      <c r="B57" s="2" t="s">
        <v>14</v>
      </c>
      <c r="C57" s="2" t="s">
        <v>20</v>
      </c>
      <c r="D57" s="2" t="s">
        <v>27</v>
      </c>
      <c r="E57">
        <v>919.04</v>
      </c>
      <c r="F57" s="2">
        <v>10</v>
      </c>
      <c r="G57" s="6">
        <v>0.2</v>
      </c>
      <c r="H57" s="4">
        <v>45468</v>
      </c>
      <c r="I57" s="7">
        <v>257.33</v>
      </c>
      <c r="J57" s="7">
        <f>I57+E57*(G57-'What-If Analysis'!$B$4)</f>
        <v>349.23399999999998</v>
      </c>
      <c r="K57">
        <f t="shared" si="4"/>
        <v>6</v>
      </c>
      <c r="L57" t="str">
        <f t="shared" si="5"/>
        <v>2024-06</v>
      </c>
      <c r="M57" s="5">
        <f t="shared" ca="1" si="6"/>
        <v>46324.534849537034</v>
      </c>
      <c r="N57">
        <f t="shared" si="7"/>
        <v>116</v>
      </c>
    </row>
    <row r="58" spans="1:14" ht="15.75" customHeight="1" x14ac:dyDescent="0.25">
      <c r="A58" s="2" t="s">
        <v>22</v>
      </c>
      <c r="B58" s="2" t="s">
        <v>66</v>
      </c>
      <c r="C58" s="2" t="s">
        <v>34</v>
      </c>
      <c r="D58" s="2" t="s">
        <v>12</v>
      </c>
      <c r="E58">
        <v>973.26</v>
      </c>
      <c r="F58" s="2">
        <v>11</v>
      </c>
      <c r="G58" s="6">
        <v>0</v>
      </c>
      <c r="H58" s="4">
        <v>45470</v>
      </c>
      <c r="I58" s="7">
        <v>389.3</v>
      </c>
      <c r="J58" s="7">
        <f>I58+E58*(G58-'What-If Analysis'!$B$4)</f>
        <v>291.97399999999999</v>
      </c>
      <c r="K58">
        <f t="shared" si="4"/>
        <v>6</v>
      </c>
      <c r="L58" t="str">
        <f t="shared" si="5"/>
        <v>2024-06</v>
      </c>
      <c r="M58" s="5">
        <f t="shared" ca="1" si="6"/>
        <v>46324.534849537034</v>
      </c>
      <c r="N58">
        <f t="shared" si="7"/>
        <v>101</v>
      </c>
    </row>
    <row r="59" spans="1:14" ht="15.75" customHeight="1" x14ac:dyDescent="0.25">
      <c r="A59" s="2" t="s">
        <v>41</v>
      </c>
      <c r="B59" s="2" t="s">
        <v>64</v>
      </c>
      <c r="C59" s="2" t="s">
        <v>24</v>
      </c>
      <c r="D59" s="2" t="s">
        <v>21</v>
      </c>
      <c r="E59">
        <v>741.61</v>
      </c>
      <c r="F59" s="2">
        <v>1</v>
      </c>
      <c r="G59" s="6">
        <v>0.2</v>
      </c>
      <c r="H59" s="4">
        <v>45471</v>
      </c>
      <c r="I59" s="7">
        <v>148.32</v>
      </c>
      <c r="J59" s="7">
        <f>I59+E59*(G59-'What-If Analysis'!$B$4)</f>
        <v>222.48099999999999</v>
      </c>
      <c r="K59">
        <f t="shared" si="4"/>
        <v>6</v>
      </c>
      <c r="L59" t="str">
        <f t="shared" si="5"/>
        <v>2024-06</v>
      </c>
      <c r="M59" s="5">
        <f t="shared" ca="1" si="6"/>
        <v>46324.534849537034</v>
      </c>
      <c r="N59">
        <f t="shared" si="7"/>
        <v>156</v>
      </c>
    </row>
    <row r="60" spans="1:14" ht="15.75" customHeight="1" x14ac:dyDescent="0.25">
      <c r="A60" s="2" t="s">
        <v>67</v>
      </c>
      <c r="B60" s="2" t="s">
        <v>38</v>
      </c>
      <c r="C60" s="2" t="s">
        <v>24</v>
      </c>
      <c r="D60" s="2" t="s">
        <v>12</v>
      </c>
      <c r="E60">
        <v>1248.82</v>
      </c>
      <c r="F60" s="2">
        <v>2</v>
      </c>
      <c r="G60" s="6">
        <v>0.1</v>
      </c>
      <c r="H60" s="4">
        <v>45473</v>
      </c>
      <c r="I60" s="7">
        <v>449.58</v>
      </c>
      <c r="J60" s="7">
        <f>I60+E60*(G60-'What-If Analysis'!$B$4)</f>
        <v>449.58</v>
      </c>
      <c r="K60">
        <f t="shared" si="4"/>
        <v>6</v>
      </c>
      <c r="L60" t="str">
        <f t="shared" si="5"/>
        <v>2024-06</v>
      </c>
      <c r="M60" s="5">
        <f t="shared" ca="1" si="6"/>
        <v>46324.534849537034</v>
      </c>
      <c r="N60">
        <f t="shared" si="7"/>
        <v>36</v>
      </c>
    </row>
    <row r="61" spans="1:14" ht="15.75" customHeight="1" x14ac:dyDescent="0.25">
      <c r="A61" s="2" t="s">
        <v>13</v>
      </c>
      <c r="B61" s="2" t="s">
        <v>59</v>
      </c>
      <c r="C61" s="2" t="s">
        <v>11</v>
      </c>
      <c r="D61" s="2" t="s">
        <v>15</v>
      </c>
      <c r="E61">
        <v>1360.36</v>
      </c>
      <c r="F61" s="2">
        <v>17</v>
      </c>
      <c r="G61" s="6">
        <v>0</v>
      </c>
      <c r="H61" s="4">
        <v>45473</v>
      </c>
      <c r="I61" s="7">
        <v>680.18</v>
      </c>
      <c r="J61" s="7">
        <f>I61+E61*(G61-'What-If Analysis'!$B$4)</f>
        <v>544.14400000000001</v>
      </c>
      <c r="K61">
        <f t="shared" si="4"/>
        <v>6</v>
      </c>
      <c r="L61" t="str">
        <f t="shared" si="5"/>
        <v>2024-06</v>
      </c>
      <c r="M61" s="5">
        <f t="shared" ca="1" si="6"/>
        <v>46324.534849537034</v>
      </c>
      <c r="N61">
        <f t="shared" si="7"/>
        <v>21</v>
      </c>
    </row>
    <row r="62" spans="1:14" ht="15.75" customHeight="1" x14ac:dyDescent="0.25">
      <c r="A62" s="2" t="s">
        <v>57</v>
      </c>
      <c r="B62" s="2" t="s">
        <v>31</v>
      </c>
      <c r="C62" s="2" t="s">
        <v>18</v>
      </c>
      <c r="D62" s="2" t="s">
        <v>12</v>
      </c>
      <c r="E62">
        <v>1383.3</v>
      </c>
      <c r="F62" s="2">
        <v>8</v>
      </c>
      <c r="G62" s="6">
        <v>0.1</v>
      </c>
      <c r="H62" s="4">
        <v>45478</v>
      </c>
      <c r="I62" s="7">
        <v>497.99</v>
      </c>
      <c r="J62" s="7">
        <f>I62+E62*(G62-'What-If Analysis'!$B$4)</f>
        <v>497.99</v>
      </c>
      <c r="K62">
        <f t="shared" si="4"/>
        <v>7</v>
      </c>
      <c r="L62" t="str">
        <f t="shared" si="5"/>
        <v>2024-07</v>
      </c>
      <c r="M62" s="5">
        <f t="shared" ca="1" si="6"/>
        <v>46324.534849537034</v>
      </c>
      <c r="N62">
        <f t="shared" si="7"/>
        <v>19</v>
      </c>
    </row>
    <row r="63" spans="1:14" ht="15.75" customHeight="1" x14ac:dyDescent="0.25">
      <c r="A63" s="2" t="s">
        <v>35</v>
      </c>
      <c r="B63" s="2" t="s">
        <v>55</v>
      </c>
      <c r="C63" s="2" t="s">
        <v>34</v>
      </c>
      <c r="D63" s="2" t="s">
        <v>39</v>
      </c>
      <c r="E63">
        <v>488.99</v>
      </c>
      <c r="F63" s="2">
        <v>9</v>
      </c>
      <c r="G63" s="6">
        <v>0</v>
      </c>
      <c r="H63" s="4">
        <v>45479</v>
      </c>
      <c r="I63" s="7">
        <v>220.05</v>
      </c>
      <c r="J63" s="7">
        <f>I63+E63*(G63-'What-If Analysis'!$B$4)</f>
        <v>171.15100000000001</v>
      </c>
      <c r="K63">
        <f t="shared" si="4"/>
        <v>7</v>
      </c>
      <c r="L63" t="str">
        <f t="shared" si="5"/>
        <v>2024-07</v>
      </c>
      <c r="M63" s="5">
        <f t="shared" ca="1" si="6"/>
        <v>46324.534849537034</v>
      </c>
      <c r="N63">
        <f t="shared" si="7"/>
        <v>191</v>
      </c>
    </row>
    <row r="64" spans="1:14" ht="15.75" customHeight="1" x14ac:dyDescent="0.25">
      <c r="A64" s="2" t="s">
        <v>30</v>
      </c>
      <c r="B64" s="2" t="s">
        <v>31</v>
      </c>
      <c r="C64" s="2" t="s">
        <v>18</v>
      </c>
      <c r="D64" s="2" t="s">
        <v>27</v>
      </c>
      <c r="E64">
        <v>933.71</v>
      </c>
      <c r="F64" s="2">
        <v>17</v>
      </c>
      <c r="G64" s="6">
        <v>0.1</v>
      </c>
      <c r="H64" s="4">
        <v>45481</v>
      </c>
      <c r="I64" s="7">
        <v>294.12</v>
      </c>
      <c r="J64" s="7">
        <f>I64+E64*(G64-'What-If Analysis'!$B$4)</f>
        <v>294.12</v>
      </c>
      <c r="K64">
        <f t="shared" si="4"/>
        <v>7</v>
      </c>
      <c r="L64" t="str">
        <f t="shared" si="5"/>
        <v>2024-07</v>
      </c>
      <c r="M64" s="5">
        <f t="shared" ca="1" si="6"/>
        <v>46324.534849537034</v>
      </c>
      <c r="N64">
        <f t="shared" si="7"/>
        <v>111</v>
      </c>
    </row>
    <row r="65" spans="1:14" ht="15.75" customHeight="1" x14ac:dyDescent="0.25">
      <c r="A65" s="2" t="s">
        <v>67</v>
      </c>
      <c r="B65" s="2" t="s">
        <v>10</v>
      </c>
      <c r="C65" s="2" t="s">
        <v>11</v>
      </c>
      <c r="D65" s="2" t="s">
        <v>21</v>
      </c>
      <c r="E65">
        <v>1005.53</v>
      </c>
      <c r="F65" s="2">
        <v>17</v>
      </c>
      <c r="G65" s="6">
        <v>0.2</v>
      </c>
      <c r="H65" s="4">
        <v>45481</v>
      </c>
      <c r="I65" s="7">
        <v>201.11</v>
      </c>
      <c r="J65" s="7">
        <f>I65+E65*(G65-'What-If Analysis'!$B$4)</f>
        <v>301.66300000000001</v>
      </c>
      <c r="K65">
        <f t="shared" si="4"/>
        <v>7</v>
      </c>
      <c r="L65" t="str">
        <f t="shared" si="5"/>
        <v>2024-07</v>
      </c>
      <c r="M65" s="5">
        <f t="shared" ca="1" si="6"/>
        <v>46324.534849537034</v>
      </c>
      <c r="N65">
        <f t="shared" si="7"/>
        <v>93</v>
      </c>
    </row>
    <row r="66" spans="1:14" ht="15.75" customHeight="1" x14ac:dyDescent="0.25">
      <c r="A66" s="2" t="s">
        <v>41</v>
      </c>
      <c r="B66" s="2" t="s">
        <v>61</v>
      </c>
      <c r="C66" s="2" t="s">
        <v>20</v>
      </c>
      <c r="D66" s="2" t="s">
        <v>21</v>
      </c>
      <c r="E66">
        <v>1100.0999999999999</v>
      </c>
      <c r="F66" s="2">
        <v>5</v>
      </c>
      <c r="G66" s="6">
        <v>0.05</v>
      </c>
      <c r="H66" s="4">
        <v>45482</v>
      </c>
      <c r="I66" s="7">
        <v>261.27</v>
      </c>
      <c r="J66" s="7">
        <f>I66+E66*(G66-'What-If Analysis'!$B$4)</f>
        <v>206.26499999999999</v>
      </c>
      <c r="K66">
        <f t="shared" ref="K66:K97" si="8">MONTH(H66)</f>
        <v>7</v>
      </c>
      <c r="L66" t="str">
        <f t="shared" ref="L66:L97" si="9">TEXT(H66,"yyyy-mm")</f>
        <v>2024-07</v>
      </c>
      <c r="M66" s="5">
        <f t="shared" ref="M66:M97" ca="1" si="10">NOW()</f>
        <v>46324.534849537034</v>
      </c>
      <c r="N66">
        <f t="shared" ref="N66:N97" si="11">_xlfn.RANK.EQ(E66,$E$2:$E$201,0)</f>
        <v>67</v>
      </c>
    </row>
    <row r="67" spans="1:14" ht="15.75" customHeight="1" x14ac:dyDescent="0.25">
      <c r="A67" s="2" t="s">
        <v>67</v>
      </c>
      <c r="B67" s="2" t="s">
        <v>23</v>
      </c>
      <c r="C67" s="2" t="s">
        <v>24</v>
      </c>
      <c r="D67" s="2" t="s">
        <v>27</v>
      </c>
      <c r="E67">
        <v>1034.7</v>
      </c>
      <c r="F67" s="2">
        <v>15</v>
      </c>
      <c r="G67" s="6">
        <v>0.15</v>
      </c>
      <c r="H67" s="4">
        <v>45487</v>
      </c>
      <c r="I67" s="7">
        <v>307.82</v>
      </c>
      <c r="J67" s="7">
        <f>I67+E67*(G67-'What-If Analysis'!$B$4)</f>
        <v>359.55500000000001</v>
      </c>
      <c r="K67">
        <f t="shared" si="8"/>
        <v>7</v>
      </c>
      <c r="L67" t="str">
        <f t="shared" si="9"/>
        <v>2024-07</v>
      </c>
      <c r="M67" s="5">
        <f t="shared" ca="1" si="10"/>
        <v>46324.534849537034</v>
      </c>
      <c r="N67">
        <f t="shared" si="11"/>
        <v>81</v>
      </c>
    </row>
    <row r="68" spans="1:14" ht="15.75" customHeight="1" x14ac:dyDescent="0.25">
      <c r="A68" s="2" t="s">
        <v>65</v>
      </c>
      <c r="B68" s="2" t="s">
        <v>31</v>
      </c>
      <c r="C68" s="2" t="s">
        <v>20</v>
      </c>
      <c r="D68" s="2" t="s">
        <v>12</v>
      </c>
      <c r="E68">
        <v>876.44</v>
      </c>
      <c r="F68" s="2">
        <v>12</v>
      </c>
      <c r="G68" s="6">
        <v>0.05</v>
      </c>
      <c r="H68" s="4">
        <v>45488</v>
      </c>
      <c r="I68" s="7">
        <v>333.05</v>
      </c>
      <c r="J68" s="7">
        <f>I68+E68*(G68-'What-If Analysis'!$B$4)</f>
        <v>289.22800000000001</v>
      </c>
      <c r="K68">
        <f t="shared" si="8"/>
        <v>7</v>
      </c>
      <c r="L68" t="str">
        <f t="shared" si="9"/>
        <v>2024-07</v>
      </c>
      <c r="M68" s="5">
        <f t="shared" ca="1" si="10"/>
        <v>46324.534849537034</v>
      </c>
      <c r="N68">
        <f t="shared" si="11"/>
        <v>122</v>
      </c>
    </row>
    <row r="69" spans="1:14" ht="15.75" customHeight="1" x14ac:dyDescent="0.25">
      <c r="A69" s="2" t="s">
        <v>68</v>
      </c>
      <c r="B69" s="2" t="s">
        <v>55</v>
      </c>
      <c r="C69" s="2" t="s">
        <v>11</v>
      </c>
      <c r="D69" s="2" t="s">
        <v>27</v>
      </c>
      <c r="E69">
        <v>1371.34</v>
      </c>
      <c r="F69" s="2">
        <v>5</v>
      </c>
      <c r="G69" s="6">
        <v>0.05</v>
      </c>
      <c r="H69" s="4">
        <v>45488</v>
      </c>
      <c r="I69" s="7">
        <v>455.97</v>
      </c>
      <c r="J69" s="7">
        <f>I69+E69*(G69-'What-If Analysis'!$B$4)</f>
        <v>387.40300000000002</v>
      </c>
      <c r="K69">
        <f t="shared" si="8"/>
        <v>7</v>
      </c>
      <c r="L69" t="str">
        <f t="shared" si="9"/>
        <v>2024-07</v>
      </c>
      <c r="M69" s="5">
        <f t="shared" ca="1" si="10"/>
        <v>46324.534849537034</v>
      </c>
      <c r="N69">
        <f t="shared" si="11"/>
        <v>20</v>
      </c>
    </row>
    <row r="70" spans="1:14" ht="15.75" customHeight="1" x14ac:dyDescent="0.25">
      <c r="A70" s="2" t="s">
        <v>57</v>
      </c>
      <c r="B70" s="2" t="s">
        <v>47</v>
      </c>
      <c r="C70" s="2" t="s">
        <v>24</v>
      </c>
      <c r="D70" s="2" t="s">
        <v>21</v>
      </c>
      <c r="E70">
        <v>1020.26</v>
      </c>
      <c r="F70" s="2">
        <v>11</v>
      </c>
      <c r="G70" s="6">
        <v>0.05</v>
      </c>
      <c r="H70" s="4">
        <v>45494</v>
      </c>
      <c r="I70" s="7">
        <v>242.31</v>
      </c>
      <c r="J70" s="7">
        <f>I70+E70*(G70-'What-If Analysis'!$B$4)</f>
        <v>191.297</v>
      </c>
      <c r="K70">
        <f t="shared" si="8"/>
        <v>7</v>
      </c>
      <c r="L70" t="str">
        <f t="shared" si="9"/>
        <v>2024-07</v>
      </c>
      <c r="M70" s="5">
        <f t="shared" ca="1" si="10"/>
        <v>46324.534849537034</v>
      </c>
      <c r="N70">
        <f t="shared" si="11"/>
        <v>87</v>
      </c>
    </row>
    <row r="71" spans="1:14" ht="15.75" customHeight="1" x14ac:dyDescent="0.25">
      <c r="A71" s="2" t="s">
        <v>44</v>
      </c>
      <c r="B71" s="2" t="s">
        <v>10</v>
      </c>
      <c r="C71" s="2" t="s">
        <v>34</v>
      </c>
      <c r="D71" s="2" t="s">
        <v>39</v>
      </c>
      <c r="E71">
        <v>804.81</v>
      </c>
      <c r="F71" s="2">
        <v>1</v>
      </c>
      <c r="G71" s="6">
        <v>0.05</v>
      </c>
      <c r="H71" s="4">
        <v>45502</v>
      </c>
      <c r="I71" s="7">
        <v>344.06</v>
      </c>
      <c r="J71" s="7">
        <f>I71+E71*(G71-'What-If Analysis'!$B$4)</f>
        <v>303.81950000000001</v>
      </c>
      <c r="K71">
        <f t="shared" si="8"/>
        <v>7</v>
      </c>
      <c r="L71" t="str">
        <f t="shared" si="9"/>
        <v>2024-07</v>
      </c>
      <c r="M71" s="5">
        <f t="shared" ca="1" si="10"/>
        <v>46324.534849537034</v>
      </c>
      <c r="N71">
        <f t="shared" si="11"/>
        <v>143</v>
      </c>
    </row>
    <row r="72" spans="1:14" ht="15.75" customHeight="1" x14ac:dyDescent="0.25">
      <c r="A72" s="2" t="s">
        <v>22</v>
      </c>
      <c r="B72" s="2" t="s">
        <v>55</v>
      </c>
      <c r="C72" s="2" t="s">
        <v>34</v>
      </c>
      <c r="D72" s="2" t="s">
        <v>21</v>
      </c>
      <c r="E72">
        <v>608.66</v>
      </c>
      <c r="F72" s="2">
        <v>1</v>
      </c>
      <c r="G72" s="6">
        <v>0.05</v>
      </c>
      <c r="H72" s="4">
        <v>45503</v>
      </c>
      <c r="I72" s="7">
        <v>144.56</v>
      </c>
      <c r="J72" s="7">
        <f>I72+E72*(G72-'What-If Analysis'!$B$4)</f>
        <v>114.12700000000001</v>
      </c>
      <c r="K72">
        <f t="shared" si="8"/>
        <v>7</v>
      </c>
      <c r="L72" t="str">
        <f t="shared" si="9"/>
        <v>2024-07</v>
      </c>
      <c r="M72" s="5">
        <f t="shared" ca="1" si="10"/>
        <v>46324.534849537034</v>
      </c>
      <c r="N72">
        <f t="shared" si="11"/>
        <v>178</v>
      </c>
    </row>
    <row r="73" spans="1:14" ht="15.75" customHeight="1" x14ac:dyDescent="0.25">
      <c r="A73" s="2" t="s">
        <v>68</v>
      </c>
      <c r="B73" s="2" t="s">
        <v>69</v>
      </c>
      <c r="C73" s="2" t="s">
        <v>20</v>
      </c>
      <c r="D73" s="2" t="s">
        <v>39</v>
      </c>
      <c r="E73">
        <v>981.2</v>
      </c>
      <c r="F73" s="2">
        <v>19</v>
      </c>
      <c r="G73" s="6">
        <v>0</v>
      </c>
      <c r="H73" s="4">
        <v>45504</v>
      </c>
      <c r="I73" s="7">
        <v>441.54</v>
      </c>
      <c r="J73" s="7">
        <f>I73+E73*(G73-'What-If Analysis'!$B$4)</f>
        <v>343.42</v>
      </c>
      <c r="K73">
        <f t="shared" si="8"/>
        <v>7</v>
      </c>
      <c r="L73" t="str">
        <f t="shared" si="9"/>
        <v>2024-07</v>
      </c>
      <c r="M73" s="5">
        <f t="shared" ca="1" si="10"/>
        <v>46324.534849537034</v>
      </c>
      <c r="N73">
        <f t="shared" si="11"/>
        <v>99</v>
      </c>
    </row>
    <row r="74" spans="1:14" ht="15.75" customHeight="1" x14ac:dyDescent="0.25">
      <c r="A74" s="2" t="s">
        <v>70</v>
      </c>
      <c r="B74" s="2" t="s">
        <v>55</v>
      </c>
      <c r="C74" s="2" t="s">
        <v>18</v>
      </c>
      <c r="D74" s="2" t="s">
        <v>21</v>
      </c>
      <c r="E74">
        <v>539.77</v>
      </c>
      <c r="F74" s="2">
        <v>10</v>
      </c>
      <c r="G74" s="6">
        <v>0.15</v>
      </c>
      <c r="H74" s="4">
        <v>45509</v>
      </c>
      <c r="I74" s="7">
        <v>114.7</v>
      </c>
      <c r="J74" s="7">
        <f>I74+E74*(G74-'What-If Analysis'!$B$4)</f>
        <v>141.6885</v>
      </c>
      <c r="K74">
        <f t="shared" si="8"/>
        <v>8</v>
      </c>
      <c r="L74" t="str">
        <f t="shared" si="9"/>
        <v>2024-08</v>
      </c>
      <c r="M74" s="5">
        <f t="shared" ca="1" si="10"/>
        <v>46324.534849537034</v>
      </c>
      <c r="N74">
        <f t="shared" si="11"/>
        <v>185</v>
      </c>
    </row>
    <row r="75" spans="1:14" ht="15.75" customHeight="1" x14ac:dyDescent="0.25">
      <c r="A75" s="2" t="s">
        <v>13</v>
      </c>
      <c r="B75" s="2" t="s">
        <v>71</v>
      </c>
      <c r="C75" s="2" t="s">
        <v>20</v>
      </c>
      <c r="D75" s="2" t="s">
        <v>12</v>
      </c>
      <c r="E75">
        <v>804.45</v>
      </c>
      <c r="F75" s="2">
        <v>5</v>
      </c>
      <c r="G75" s="6">
        <v>0.2</v>
      </c>
      <c r="H75" s="4">
        <v>45509</v>
      </c>
      <c r="I75" s="7">
        <v>257.42</v>
      </c>
      <c r="J75" s="7">
        <f>I75+E75*(G75-'What-If Analysis'!$B$4)</f>
        <v>337.86500000000001</v>
      </c>
      <c r="K75">
        <f t="shared" si="8"/>
        <v>8</v>
      </c>
      <c r="L75" t="str">
        <f t="shared" si="9"/>
        <v>2024-08</v>
      </c>
      <c r="M75" s="5">
        <f t="shared" ca="1" si="10"/>
        <v>46324.534849537034</v>
      </c>
      <c r="N75">
        <f t="shared" si="11"/>
        <v>144</v>
      </c>
    </row>
    <row r="76" spans="1:14" ht="15.75" customHeight="1" x14ac:dyDescent="0.25">
      <c r="A76" s="2" t="s">
        <v>70</v>
      </c>
      <c r="B76" s="2" t="s">
        <v>38</v>
      </c>
      <c r="C76" s="2" t="s">
        <v>11</v>
      </c>
      <c r="D76" s="2" t="s">
        <v>21</v>
      </c>
      <c r="E76">
        <v>1526.6</v>
      </c>
      <c r="F76" s="2">
        <v>13</v>
      </c>
      <c r="G76" s="6">
        <v>0.2</v>
      </c>
      <c r="H76" s="4">
        <v>45512</v>
      </c>
      <c r="I76" s="7">
        <v>305.32</v>
      </c>
      <c r="J76" s="7">
        <f>I76+E76*(G76-'What-If Analysis'!$B$4)</f>
        <v>457.98</v>
      </c>
      <c r="K76">
        <f t="shared" si="8"/>
        <v>8</v>
      </c>
      <c r="L76" t="str">
        <f t="shared" si="9"/>
        <v>2024-08</v>
      </c>
      <c r="M76" s="5">
        <f t="shared" ca="1" si="10"/>
        <v>46324.534849537034</v>
      </c>
      <c r="N76">
        <f t="shared" si="11"/>
        <v>7</v>
      </c>
    </row>
    <row r="77" spans="1:14" ht="15.75" customHeight="1" x14ac:dyDescent="0.25">
      <c r="A77" s="2" t="s">
        <v>13</v>
      </c>
      <c r="B77" s="2" t="s">
        <v>29</v>
      </c>
      <c r="C77" s="2" t="s">
        <v>11</v>
      </c>
      <c r="D77" s="2" t="s">
        <v>21</v>
      </c>
      <c r="E77">
        <v>1215.26</v>
      </c>
      <c r="F77" s="2">
        <v>5</v>
      </c>
      <c r="G77" s="6">
        <v>0.15</v>
      </c>
      <c r="H77" s="4">
        <v>45513</v>
      </c>
      <c r="I77" s="7">
        <v>258.24</v>
      </c>
      <c r="J77" s="7">
        <f>I77+E77*(G77-'What-If Analysis'!$B$4)</f>
        <v>319.00299999999999</v>
      </c>
      <c r="K77">
        <f t="shared" si="8"/>
        <v>8</v>
      </c>
      <c r="L77" t="str">
        <f t="shared" si="9"/>
        <v>2024-08</v>
      </c>
      <c r="M77" s="5">
        <f t="shared" ca="1" si="10"/>
        <v>46324.534849537034</v>
      </c>
      <c r="N77">
        <f t="shared" si="11"/>
        <v>41</v>
      </c>
    </row>
    <row r="78" spans="1:14" ht="15.75" customHeight="1" x14ac:dyDescent="0.25">
      <c r="A78" s="2" t="s">
        <v>19</v>
      </c>
      <c r="B78" s="2" t="s">
        <v>53</v>
      </c>
      <c r="C78" s="2" t="s">
        <v>34</v>
      </c>
      <c r="D78" s="2" t="s">
        <v>27</v>
      </c>
      <c r="E78">
        <v>1261.3399999999999</v>
      </c>
      <c r="F78" s="2">
        <v>3</v>
      </c>
      <c r="G78" s="6">
        <v>0</v>
      </c>
      <c r="H78" s="4">
        <v>45519</v>
      </c>
      <c r="I78" s="7">
        <v>441.47</v>
      </c>
      <c r="J78" s="7">
        <f>I78+E78*(G78-'What-If Analysis'!$B$4)</f>
        <v>315.33600000000001</v>
      </c>
      <c r="K78">
        <f t="shared" si="8"/>
        <v>8</v>
      </c>
      <c r="L78" t="str">
        <f t="shared" si="9"/>
        <v>2024-08</v>
      </c>
      <c r="M78" s="5">
        <f t="shared" ca="1" si="10"/>
        <v>46324.534849537034</v>
      </c>
      <c r="N78">
        <f t="shared" si="11"/>
        <v>33</v>
      </c>
    </row>
    <row r="79" spans="1:14" ht="15.75" customHeight="1" x14ac:dyDescent="0.25">
      <c r="A79" s="2" t="s">
        <v>72</v>
      </c>
      <c r="B79" s="2" t="s">
        <v>45</v>
      </c>
      <c r="C79" s="2" t="s">
        <v>24</v>
      </c>
      <c r="D79" s="2" t="s">
        <v>27</v>
      </c>
      <c r="E79">
        <v>518.07000000000005</v>
      </c>
      <c r="F79" s="2">
        <v>7</v>
      </c>
      <c r="G79" s="6">
        <v>0.05</v>
      </c>
      <c r="H79" s="4">
        <v>45522</v>
      </c>
      <c r="I79" s="7">
        <v>172.26</v>
      </c>
      <c r="J79" s="7">
        <f>I79+E79*(G79-'What-If Analysis'!$B$4)</f>
        <v>146.35649999999998</v>
      </c>
      <c r="K79">
        <f t="shared" si="8"/>
        <v>8</v>
      </c>
      <c r="L79" t="str">
        <f t="shared" si="9"/>
        <v>2024-08</v>
      </c>
      <c r="M79" s="5">
        <f t="shared" ca="1" si="10"/>
        <v>46324.534849537034</v>
      </c>
      <c r="N79">
        <f t="shared" si="11"/>
        <v>187</v>
      </c>
    </row>
    <row r="80" spans="1:14" ht="15.75" customHeight="1" x14ac:dyDescent="0.25">
      <c r="A80" s="2" t="s">
        <v>30</v>
      </c>
      <c r="B80" s="2" t="s">
        <v>29</v>
      </c>
      <c r="C80" s="2" t="s">
        <v>11</v>
      </c>
      <c r="D80" s="2" t="s">
        <v>39</v>
      </c>
      <c r="E80">
        <v>1111.3399999999999</v>
      </c>
      <c r="F80" s="2">
        <v>1</v>
      </c>
      <c r="G80" s="6">
        <v>0</v>
      </c>
      <c r="H80" s="4">
        <v>45523</v>
      </c>
      <c r="I80" s="7">
        <v>500.1</v>
      </c>
      <c r="J80" s="7">
        <f>I80+E80*(G80-'What-If Analysis'!$B$4)</f>
        <v>388.96600000000001</v>
      </c>
      <c r="K80">
        <f t="shared" si="8"/>
        <v>8</v>
      </c>
      <c r="L80" t="str">
        <f t="shared" si="9"/>
        <v>2024-08</v>
      </c>
      <c r="M80" s="5">
        <f t="shared" ca="1" si="10"/>
        <v>46324.534849537034</v>
      </c>
      <c r="N80">
        <f t="shared" si="11"/>
        <v>63</v>
      </c>
    </row>
    <row r="81" spans="1:14" ht="15.75" customHeight="1" x14ac:dyDescent="0.25">
      <c r="A81" s="2" t="s">
        <v>22</v>
      </c>
      <c r="B81" s="2" t="s">
        <v>31</v>
      </c>
      <c r="C81" s="2" t="s">
        <v>18</v>
      </c>
      <c r="D81" s="2" t="s">
        <v>15</v>
      </c>
      <c r="E81">
        <v>1291.47</v>
      </c>
      <c r="F81" s="2">
        <v>18</v>
      </c>
      <c r="G81" s="6">
        <v>0.1</v>
      </c>
      <c r="H81" s="4">
        <v>45526</v>
      </c>
      <c r="I81" s="7">
        <v>581.16</v>
      </c>
      <c r="J81" s="7">
        <f>I81+E81*(G81-'What-If Analysis'!$B$4)</f>
        <v>581.16</v>
      </c>
      <c r="K81">
        <f t="shared" si="8"/>
        <v>8</v>
      </c>
      <c r="L81" t="str">
        <f t="shared" si="9"/>
        <v>2024-08</v>
      </c>
      <c r="M81" s="5">
        <f t="shared" ca="1" si="10"/>
        <v>46324.534849537034</v>
      </c>
      <c r="N81">
        <f t="shared" si="11"/>
        <v>29</v>
      </c>
    </row>
    <row r="82" spans="1:14" ht="15.75" customHeight="1" x14ac:dyDescent="0.25">
      <c r="A82" s="2" t="s">
        <v>25</v>
      </c>
      <c r="B82" s="2" t="s">
        <v>55</v>
      </c>
      <c r="C82" s="2" t="s">
        <v>24</v>
      </c>
      <c r="D82" s="2" t="s">
        <v>12</v>
      </c>
      <c r="E82">
        <v>679.71</v>
      </c>
      <c r="F82" s="2">
        <v>19</v>
      </c>
      <c r="G82" s="6">
        <v>0</v>
      </c>
      <c r="H82" s="4">
        <v>45534</v>
      </c>
      <c r="I82" s="7">
        <v>271.88</v>
      </c>
      <c r="J82" s="7">
        <f>I82+E82*(G82-'What-If Analysis'!$B$4)</f>
        <v>203.90899999999999</v>
      </c>
      <c r="K82">
        <f t="shared" si="8"/>
        <v>8</v>
      </c>
      <c r="L82" t="str">
        <f t="shared" si="9"/>
        <v>2024-08</v>
      </c>
      <c r="M82" s="5">
        <f t="shared" ca="1" si="10"/>
        <v>46324.534849537034</v>
      </c>
      <c r="N82">
        <f t="shared" si="11"/>
        <v>171</v>
      </c>
    </row>
    <row r="83" spans="1:14" ht="15.75" customHeight="1" x14ac:dyDescent="0.25">
      <c r="A83" s="2" t="s">
        <v>68</v>
      </c>
      <c r="B83" s="2" t="s">
        <v>33</v>
      </c>
      <c r="C83" s="2" t="s">
        <v>18</v>
      </c>
      <c r="D83" s="2" t="s">
        <v>27</v>
      </c>
      <c r="E83">
        <v>1143.69</v>
      </c>
      <c r="F83" s="2">
        <v>17</v>
      </c>
      <c r="G83" s="6">
        <v>0</v>
      </c>
      <c r="H83" s="4">
        <v>45534</v>
      </c>
      <c r="I83" s="7">
        <v>400.29</v>
      </c>
      <c r="J83" s="7">
        <f>I83+E83*(G83-'What-If Analysis'!$B$4)</f>
        <v>285.92099999999999</v>
      </c>
      <c r="K83">
        <f t="shared" si="8"/>
        <v>8</v>
      </c>
      <c r="L83" t="str">
        <f t="shared" si="9"/>
        <v>2024-08</v>
      </c>
      <c r="M83" s="5">
        <f t="shared" ca="1" si="10"/>
        <v>46324.534849537034</v>
      </c>
      <c r="N83">
        <f t="shared" si="11"/>
        <v>60</v>
      </c>
    </row>
    <row r="84" spans="1:14" ht="15.75" customHeight="1" x14ac:dyDescent="0.25">
      <c r="A84" s="2" t="s">
        <v>52</v>
      </c>
      <c r="B84" s="2" t="s">
        <v>50</v>
      </c>
      <c r="C84" s="2" t="s">
        <v>34</v>
      </c>
      <c r="D84" s="2" t="s">
        <v>21</v>
      </c>
      <c r="E84">
        <v>790.08</v>
      </c>
      <c r="F84" s="2">
        <v>7</v>
      </c>
      <c r="G84" s="6">
        <v>0.1</v>
      </c>
      <c r="H84" s="4">
        <v>45536</v>
      </c>
      <c r="I84" s="7">
        <v>177.77</v>
      </c>
      <c r="J84" s="7">
        <f>I84+E84*(G84-'What-If Analysis'!$B$4)</f>
        <v>177.77</v>
      </c>
      <c r="K84">
        <f t="shared" si="8"/>
        <v>9</v>
      </c>
      <c r="L84" t="str">
        <f t="shared" si="9"/>
        <v>2024-09</v>
      </c>
      <c r="M84" s="5">
        <f t="shared" ca="1" si="10"/>
        <v>46324.534849537034</v>
      </c>
      <c r="N84">
        <f t="shared" si="11"/>
        <v>146</v>
      </c>
    </row>
    <row r="85" spans="1:14" ht="15.75" customHeight="1" x14ac:dyDescent="0.25">
      <c r="A85" s="2" t="s">
        <v>19</v>
      </c>
      <c r="B85" s="2" t="s">
        <v>48</v>
      </c>
      <c r="C85" s="2" t="s">
        <v>34</v>
      </c>
      <c r="D85" s="2" t="s">
        <v>12</v>
      </c>
      <c r="E85">
        <v>1070.68</v>
      </c>
      <c r="F85" s="2">
        <v>7</v>
      </c>
      <c r="G85" s="6">
        <v>0.05</v>
      </c>
      <c r="H85" s="4">
        <v>45536</v>
      </c>
      <c r="I85" s="7">
        <v>406.86</v>
      </c>
      <c r="J85" s="7">
        <f>I85+E85*(G85-'What-If Analysis'!$B$4)</f>
        <v>353.32600000000002</v>
      </c>
      <c r="K85">
        <f t="shared" si="8"/>
        <v>9</v>
      </c>
      <c r="L85" t="str">
        <f t="shared" si="9"/>
        <v>2024-09</v>
      </c>
      <c r="M85" s="5">
        <f t="shared" ca="1" si="10"/>
        <v>46324.534849537034</v>
      </c>
      <c r="N85">
        <f t="shared" si="11"/>
        <v>76</v>
      </c>
    </row>
    <row r="86" spans="1:14" ht="15.75" customHeight="1" x14ac:dyDescent="0.25">
      <c r="A86" s="2" t="s">
        <v>58</v>
      </c>
      <c r="B86" s="2" t="s">
        <v>36</v>
      </c>
      <c r="C86" s="2" t="s">
        <v>11</v>
      </c>
      <c r="D86" s="2" t="s">
        <v>15</v>
      </c>
      <c r="E86">
        <v>1168.8900000000001</v>
      </c>
      <c r="F86" s="2">
        <v>4</v>
      </c>
      <c r="G86" s="6">
        <v>0.1</v>
      </c>
      <c r="H86" s="4">
        <v>45544</v>
      </c>
      <c r="I86" s="7">
        <v>526</v>
      </c>
      <c r="J86" s="7">
        <f>I86+E86*(G86-'What-If Analysis'!$B$4)</f>
        <v>526</v>
      </c>
      <c r="K86">
        <f t="shared" si="8"/>
        <v>9</v>
      </c>
      <c r="L86" t="str">
        <f t="shared" si="9"/>
        <v>2024-09</v>
      </c>
      <c r="M86" s="5">
        <f t="shared" ca="1" si="10"/>
        <v>46324.534849537034</v>
      </c>
      <c r="N86">
        <f t="shared" si="11"/>
        <v>53</v>
      </c>
    </row>
    <row r="87" spans="1:14" ht="15.75" customHeight="1" x14ac:dyDescent="0.25">
      <c r="A87" s="2" t="s">
        <v>67</v>
      </c>
      <c r="B87" s="2" t="s">
        <v>10</v>
      </c>
      <c r="C87" s="2" t="s">
        <v>20</v>
      </c>
      <c r="D87" s="2" t="s">
        <v>21</v>
      </c>
      <c r="E87">
        <v>1335.87</v>
      </c>
      <c r="F87" s="2">
        <v>17</v>
      </c>
      <c r="G87" s="6">
        <v>0</v>
      </c>
      <c r="H87" s="4">
        <v>45544</v>
      </c>
      <c r="I87" s="7">
        <v>333.97</v>
      </c>
      <c r="J87" s="7">
        <f>I87+E87*(G87-'What-If Analysis'!$B$4)</f>
        <v>200.38300000000004</v>
      </c>
      <c r="K87">
        <f t="shared" si="8"/>
        <v>9</v>
      </c>
      <c r="L87" t="str">
        <f t="shared" si="9"/>
        <v>2024-09</v>
      </c>
      <c r="M87" s="5">
        <f t="shared" ca="1" si="10"/>
        <v>46324.534849537034</v>
      </c>
      <c r="N87">
        <f t="shared" si="11"/>
        <v>25</v>
      </c>
    </row>
    <row r="88" spans="1:14" ht="15.75" customHeight="1" x14ac:dyDescent="0.25">
      <c r="A88" s="2" t="s">
        <v>40</v>
      </c>
      <c r="B88" s="2" t="s">
        <v>55</v>
      </c>
      <c r="C88" s="2" t="s">
        <v>18</v>
      </c>
      <c r="D88" s="2" t="s">
        <v>27</v>
      </c>
      <c r="E88">
        <v>873.7</v>
      </c>
      <c r="F88" s="2">
        <v>9</v>
      </c>
      <c r="G88" s="6">
        <v>0</v>
      </c>
      <c r="H88" s="4">
        <v>45546</v>
      </c>
      <c r="I88" s="7">
        <v>305.8</v>
      </c>
      <c r="J88" s="7">
        <f>I88+E88*(G88-'What-If Analysis'!$B$4)</f>
        <v>218.43</v>
      </c>
      <c r="K88">
        <f t="shared" si="8"/>
        <v>9</v>
      </c>
      <c r="L88" t="str">
        <f t="shared" si="9"/>
        <v>2024-09</v>
      </c>
      <c r="M88" s="5">
        <f t="shared" ca="1" si="10"/>
        <v>46324.534849537034</v>
      </c>
      <c r="N88">
        <f t="shared" si="11"/>
        <v>124</v>
      </c>
    </row>
    <row r="89" spans="1:14" ht="15.75" customHeight="1" x14ac:dyDescent="0.25">
      <c r="A89" s="2" t="s">
        <v>72</v>
      </c>
      <c r="B89" s="2" t="s">
        <v>64</v>
      </c>
      <c r="C89" s="2" t="s">
        <v>11</v>
      </c>
      <c r="D89" s="2" t="s">
        <v>39</v>
      </c>
      <c r="E89">
        <v>1443.98</v>
      </c>
      <c r="F89" s="2">
        <v>19</v>
      </c>
      <c r="G89" s="6">
        <v>0</v>
      </c>
      <c r="H89" s="4">
        <v>45547</v>
      </c>
      <c r="I89" s="7">
        <v>649.79</v>
      </c>
      <c r="J89" s="7">
        <f>I89+E89*(G89-'What-If Analysis'!$B$4)</f>
        <v>505.39199999999994</v>
      </c>
      <c r="K89">
        <f t="shared" si="8"/>
        <v>9</v>
      </c>
      <c r="L89" t="str">
        <f t="shared" si="9"/>
        <v>2024-09</v>
      </c>
      <c r="M89" s="5">
        <f t="shared" ca="1" si="10"/>
        <v>46324.534849537034</v>
      </c>
      <c r="N89">
        <f t="shared" si="11"/>
        <v>15</v>
      </c>
    </row>
    <row r="90" spans="1:14" ht="15.75" customHeight="1" x14ac:dyDescent="0.25">
      <c r="A90" s="2" t="s">
        <v>40</v>
      </c>
      <c r="B90" s="2" t="s">
        <v>23</v>
      </c>
      <c r="C90" s="2" t="s">
        <v>18</v>
      </c>
      <c r="D90" s="2" t="s">
        <v>39</v>
      </c>
      <c r="E90">
        <v>1154.33</v>
      </c>
      <c r="F90" s="2">
        <v>11</v>
      </c>
      <c r="G90" s="6">
        <v>0.15</v>
      </c>
      <c r="H90" s="4">
        <v>45549</v>
      </c>
      <c r="I90" s="7">
        <v>441.53</v>
      </c>
      <c r="J90" s="7">
        <f>I90+E90*(G90-'What-If Analysis'!$B$4)</f>
        <v>499.24649999999997</v>
      </c>
      <c r="K90">
        <f t="shared" si="8"/>
        <v>9</v>
      </c>
      <c r="L90" t="str">
        <f t="shared" si="9"/>
        <v>2024-09</v>
      </c>
      <c r="M90" s="5">
        <f t="shared" ca="1" si="10"/>
        <v>46324.534849537034</v>
      </c>
      <c r="N90">
        <f t="shared" si="11"/>
        <v>57</v>
      </c>
    </row>
    <row r="91" spans="1:14" ht="15.75" customHeight="1" x14ac:dyDescent="0.25">
      <c r="A91" s="2" t="s">
        <v>49</v>
      </c>
      <c r="B91" s="2" t="s">
        <v>50</v>
      </c>
      <c r="C91" s="2" t="s">
        <v>20</v>
      </c>
      <c r="D91" s="2" t="s">
        <v>12</v>
      </c>
      <c r="E91">
        <v>1264.49</v>
      </c>
      <c r="F91" s="2">
        <v>16</v>
      </c>
      <c r="G91" s="6">
        <v>0.05</v>
      </c>
      <c r="H91" s="4">
        <v>45549</v>
      </c>
      <c r="I91" s="7">
        <v>480.51</v>
      </c>
      <c r="J91" s="7">
        <f>I91+E91*(G91-'What-If Analysis'!$B$4)</f>
        <v>417.28549999999996</v>
      </c>
      <c r="K91">
        <f t="shared" si="8"/>
        <v>9</v>
      </c>
      <c r="L91" t="str">
        <f t="shared" si="9"/>
        <v>2024-09</v>
      </c>
      <c r="M91" s="5">
        <f t="shared" ca="1" si="10"/>
        <v>46324.534849537034</v>
      </c>
      <c r="N91">
        <f t="shared" si="11"/>
        <v>32</v>
      </c>
    </row>
    <row r="92" spans="1:14" ht="15.75" customHeight="1" x14ac:dyDescent="0.25">
      <c r="A92" s="2" t="s">
        <v>25</v>
      </c>
      <c r="B92" s="2" t="s">
        <v>66</v>
      </c>
      <c r="C92" s="2" t="s">
        <v>11</v>
      </c>
      <c r="D92" s="2" t="s">
        <v>27</v>
      </c>
      <c r="E92">
        <v>1101.55</v>
      </c>
      <c r="F92" s="2">
        <v>4</v>
      </c>
      <c r="G92" s="6">
        <v>0.1</v>
      </c>
      <c r="H92" s="4">
        <v>45551</v>
      </c>
      <c r="I92" s="7">
        <v>346.99</v>
      </c>
      <c r="J92" s="7">
        <f>I92+E92*(G92-'What-If Analysis'!$B$4)</f>
        <v>346.99</v>
      </c>
      <c r="K92">
        <f t="shared" si="8"/>
        <v>9</v>
      </c>
      <c r="L92" t="str">
        <f t="shared" si="9"/>
        <v>2024-09</v>
      </c>
      <c r="M92" s="5">
        <f t="shared" ca="1" si="10"/>
        <v>46324.534849537034</v>
      </c>
      <c r="N92">
        <f t="shared" si="11"/>
        <v>65</v>
      </c>
    </row>
    <row r="93" spans="1:14" ht="15.75" customHeight="1" x14ac:dyDescent="0.25">
      <c r="A93" s="2" t="s">
        <v>73</v>
      </c>
      <c r="B93" s="2" t="s">
        <v>14</v>
      </c>
      <c r="C93" s="2" t="s">
        <v>20</v>
      </c>
      <c r="D93" s="2" t="s">
        <v>27</v>
      </c>
      <c r="E93">
        <v>727.73</v>
      </c>
      <c r="F93" s="2">
        <v>1</v>
      </c>
      <c r="G93" s="6">
        <v>0.1</v>
      </c>
      <c r="H93" s="4">
        <v>45552</v>
      </c>
      <c r="I93" s="7">
        <v>229.23</v>
      </c>
      <c r="J93" s="7">
        <f>I93+E93*(G93-'What-If Analysis'!$B$4)</f>
        <v>229.23</v>
      </c>
      <c r="K93">
        <f t="shared" si="8"/>
        <v>9</v>
      </c>
      <c r="L93" t="str">
        <f t="shared" si="9"/>
        <v>2024-09</v>
      </c>
      <c r="M93" s="5">
        <f t="shared" ca="1" si="10"/>
        <v>46324.534849537034</v>
      </c>
      <c r="N93">
        <f t="shared" si="11"/>
        <v>160</v>
      </c>
    </row>
    <row r="94" spans="1:14" ht="15.75" customHeight="1" x14ac:dyDescent="0.25">
      <c r="A94" s="2" t="s">
        <v>74</v>
      </c>
      <c r="B94" s="2" t="s">
        <v>38</v>
      </c>
      <c r="C94" s="2" t="s">
        <v>18</v>
      </c>
      <c r="D94" s="2" t="s">
        <v>39</v>
      </c>
      <c r="E94">
        <v>875.41</v>
      </c>
      <c r="F94" s="2">
        <v>13</v>
      </c>
      <c r="G94" s="6">
        <v>0.15</v>
      </c>
      <c r="H94" s="4">
        <v>45552</v>
      </c>
      <c r="I94" s="7">
        <v>334.84</v>
      </c>
      <c r="J94" s="7">
        <f>I94+E94*(G94-'What-If Analysis'!$B$4)</f>
        <v>378.61049999999994</v>
      </c>
      <c r="K94">
        <f t="shared" si="8"/>
        <v>9</v>
      </c>
      <c r="L94" t="str">
        <f t="shared" si="9"/>
        <v>2024-09</v>
      </c>
      <c r="M94" s="5">
        <f t="shared" ca="1" si="10"/>
        <v>46324.534849537034</v>
      </c>
      <c r="N94">
        <f t="shared" si="11"/>
        <v>123</v>
      </c>
    </row>
    <row r="95" spans="1:14" ht="15.75" customHeight="1" x14ac:dyDescent="0.25">
      <c r="A95" s="2" t="s">
        <v>67</v>
      </c>
      <c r="B95" s="2" t="s">
        <v>23</v>
      </c>
      <c r="C95" s="2" t="s">
        <v>11</v>
      </c>
      <c r="D95" s="2" t="s">
        <v>21</v>
      </c>
      <c r="E95">
        <v>1158.94</v>
      </c>
      <c r="F95" s="2">
        <v>19</v>
      </c>
      <c r="G95" s="6">
        <v>0.2</v>
      </c>
      <c r="H95" s="4">
        <v>45553</v>
      </c>
      <c r="I95" s="7">
        <v>231.79</v>
      </c>
      <c r="J95" s="7">
        <f>I95+E95*(G95-'What-If Analysis'!$B$4)</f>
        <v>347.68399999999997</v>
      </c>
      <c r="K95">
        <f t="shared" si="8"/>
        <v>9</v>
      </c>
      <c r="L95" t="str">
        <f t="shared" si="9"/>
        <v>2024-09</v>
      </c>
      <c r="M95" s="5">
        <f t="shared" ca="1" si="10"/>
        <v>46324.534849537034</v>
      </c>
      <c r="N95">
        <f t="shared" si="11"/>
        <v>56</v>
      </c>
    </row>
    <row r="96" spans="1:14" ht="15.75" customHeight="1" x14ac:dyDescent="0.25">
      <c r="A96" s="2" t="s">
        <v>75</v>
      </c>
      <c r="B96" s="2" t="s">
        <v>47</v>
      </c>
      <c r="C96" s="2" t="s">
        <v>20</v>
      </c>
      <c r="D96" s="2" t="s">
        <v>12</v>
      </c>
      <c r="E96">
        <v>966.3</v>
      </c>
      <c r="F96" s="2">
        <v>2</v>
      </c>
      <c r="G96" s="6">
        <v>0.15</v>
      </c>
      <c r="H96" s="4">
        <v>45557</v>
      </c>
      <c r="I96" s="7">
        <v>328.54</v>
      </c>
      <c r="J96" s="7">
        <f>I96+E96*(G96-'What-If Analysis'!$B$4)</f>
        <v>376.85500000000002</v>
      </c>
      <c r="K96">
        <f t="shared" si="8"/>
        <v>9</v>
      </c>
      <c r="L96" t="str">
        <f t="shared" si="9"/>
        <v>2024-09</v>
      </c>
      <c r="M96" s="5">
        <f t="shared" ca="1" si="10"/>
        <v>46324.534849537034</v>
      </c>
      <c r="N96">
        <f t="shared" si="11"/>
        <v>103</v>
      </c>
    </row>
    <row r="97" spans="1:14" ht="15.75" customHeight="1" x14ac:dyDescent="0.25">
      <c r="A97" s="2" t="s">
        <v>68</v>
      </c>
      <c r="B97" s="2" t="s">
        <v>17</v>
      </c>
      <c r="C97" s="2" t="s">
        <v>20</v>
      </c>
      <c r="D97" s="2" t="s">
        <v>12</v>
      </c>
      <c r="E97">
        <v>917.48</v>
      </c>
      <c r="F97" s="2">
        <v>6</v>
      </c>
      <c r="G97" s="6">
        <v>0</v>
      </c>
      <c r="H97" s="4">
        <v>45558</v>
      </c>
      <c r="I97" s="7">
        <v>366.99</v>
      </c>
      <c r="J97" s="7">
        <f>I97+E97*(G97-'What-If Analysis'!$B$4)</f>
        <v>275.24200000000002</v>
      </c>
      <c r="K97">
        <f t="shared" si="8"/>
        <v>9</v>
      </c>
      <c r="L97" t="str">
        <f t="shared" si="9"/>
        <v>2024-09</v>
      </c>
      <c r="M97" s="5">
        <f t="shared" ca="1" si="10"/>
        <v>46324.534849537034</v>
      </c>
      <c r="N97">
        <f t="shared" si="11"/>
        <v>117</v>
      </c>
    </row>
    <row r="98" spans="1:14" ht="15.75" customHeight="1" x14ac:dyDescent="0.25">
      <c r="A98" s="2" t="s">
        <v>41</v>
      </c>
      <c r="B98" s="2" t="s">
        <v>61</v>
      </c>
      <c r="C98" s="2" t="s">
        <v>11</v>
      </c>
      <c r="D98" s="2" t="s">
        <v>27</v>
      </c>
      <c r="E98">
        <v>1172.97</v>
      </c>
      <c r="F98" s="2">
        <v>7</v>
      </c>
      <c r="G98" s="6">
        <v>0.15</v>
      </c>
      <c r="H98" s="4">
        <v>45559</v>
      </c>
      <c r="I98" s="7">
        <v>348.96</v>
      </c>
      <c r="J98" s="7">
        <f>I98+E98*(G98-'What-If Analysis'!$B$4)</f>
        <v>407.60849999999999</v>
      </c>
      <c r="K98">
        <f t="shared" ref="K98:K129" si="12">MONTH(H98)</f>
        <v>9</v>
      </c>
      <c r="L98" t="str">
        <f t="shared" ref="L98:L129" si="13">TEXT(H98,"yyyy-mm")</f>
        <v>2024-09</v>
      </c>
      <c r="M98" s="5">
        <f t="shared" ref="M98:M129" ca="1" si="14">NOW()</f>
        <v>46324.534849537034</v>
      </c>
      <c r="N98">
        <f t="shared" ref="N98:N129" si="15">_xlfn.RANK.EQ(E98,$E$2:$E$201,0)</f>
        <v>51</v>
      </c>
    </row>
    <row r="99" spans="1:14" ht="15.75" customHeight="1" x14ac:dyDescent="0.25">
      <c r="A99" s="2" t="s">
        <v>57</v>
      </c>
      <c r="B99" s="2" t="s">
        <v>23</v>
      </c>
      <c r="C99" s="2" t="s">
        <v>24</v>
      </c>
      <c r="D99" s="2" t="s">
        <v>15</v>
      </c>
      <c r="E99">
        <v>1205.82</v>
      </c>
      <c r="F99" s="2">
        <v>11</v>
      </c>
      <c r="G99" s="6">
        <v>0.1</v>
      </c>
      <c r="H99" s="4">
        <v>45559</v>
      </c>
      <c r="I99" s="7">
        <v>542.62</v>
      </c>
      <c r="J99" s="7">
        <f>I99+E99*(G99-'What-If Analysis'!$B$4)</f>
        <v>542.62</v>
      </c>
      <c r="K99">
        <f t="shared" si="12"/>
        <v>9</v>
      </c>
      <c r="L99" t="str">
        <f t="shared" si="13"/>
        <v>2024-09</v>
      </c>
      <c r="M99" s="5">
        <f t="shared" ca="1" si="14"/>
        <v>46324.534849537034</v>
      </c>
      <c r="N99">
        <f t="shared" si="15"/>
        <v>43</v>
      </c>
    </row>
    <row r="100" spans="1:14" ht="15.75" customHeight="1" x14ac:dyDescent="0.25">
      <c r="A100" s="2" t="s">
        <v>16</v>
      </c>
      <c r="B100" s="2" t="s">
        <v>64</v>
      </c>
      <c r="C100" s="2" t="s">
        <v>11</v>
      </c>
      <c r="D100" s="2" t="s">
        <v>39</v>
      </c>
      <c r="E100">
        <v>826.93</v>
      </c>
      <c r="F100" s="2">
        <v>10</v>
      </c>
      <c r="G100" s="6">
        <v>0.2</v>
      </c>
      <c r="H100" s="4">
        <v>45564</v>
      </c>
      <c r="I100" s="7">
        <v>297.69</v>
      </c>
      <c r="J100" s="7">
        <f>I100+E100*(G100-'What-If Analysis'!$B$4)</f>
        <v>380.38299999999998</v>
      </c>
      <c r="K100">
        <f t="shared" si="12"/>
        <v>9</v>
      </c>
      <c r="L100" t="str">
        <f t="shared" si="13"/>
        <v>2024-09</v>
      </c>
      <c r="M100" s="5">
        <f t="shared" ca="1" si="14"/>
        <v>46324.534849537034</v>
      </c>
      <c r="N100">
        <f t="shared" si="15"/>
        <v>138</v>
      </c>
    </row>
    <row r="101" spans="1:14" ht="15.75" customHeight="1" x14ac:dyDescent="0.25">
      <c r="A101" s="2" t="s">
        <v>67</v>
      </c>
      <c r="B101" s="2" t="s">
        <v>23</v>
      </c>
      <c r="C101" s="2" t="s">
        <v>34</v>
      </c>
      <c r="D101" s="2" t="s">
        <v>15</v>
      </c>
      <c r="E101">
        <v>902.19</v>
      </c>
      <c r="F101" s="2">
        <v>12</v>
      </c>
      <c r="G101" s="6">
        <v>0</v>
      </c>
      <c r="H101" s="4">
        <v>45564</v>
      </c>
      <c r="I101" s="7">
        <v>451.1</v>
      </c>
      <c r="J101" s="7">
        <f>I101+E101*(G101-'What-If Analysis'!$B$4)</f>
        <v>360.88100000000003</v>
      </c>
      <c r="K101">
        <f t="shared" si="12"/>
        <v>9</v>
      </c>
      <c r="L101" t="str">
        <f t="shared" si="13"/>
        <v>2024-09</v>
      </c>
      <c r="M101" s="5">
        <f t="shared" ca="1" si="14"/>
        <v>46324.534849537034</v>
      </c>
      <c r="N101">
        <f t="shared" si="15"/>
        <v>118</v>
      </c>
    </row>
    <row r="102" spans="1:14" ht="15.75" customHeight="1" x14ac:dyDescent="0.25">
      <c r="A102" s="2" t="s">
        <v>74</v>
      </c>
      <c r="B102" s="2" t="s">
        <v>38</v>
      </c>
      <c r="C102" s="2" t="s">
        <v>24</v>
      </c>
      <c r="D102" s="2" t="s">
        <v>12</v>
      </c>
      <c r="E102">
        <v>585.97</v>
      </c>
      <c r="F102" s="2">
        <v>17</v>
      </c>
      <c r="G102" s="6">
        <v>0.1</v>
      </c>
      <c r="H102" s="4">
        <v>45565</v>
      </c>
      <c r="I102" s="7">
        <v>210.95</v>
      </c>
      <c r="J102" s="7">
        <f>I102+E102*(G102-'What-If Analysis'!$B$4)</f>
        <v>210.95</v>
      </c>
      <c r="K102">
        <f t="shared" si="12"/>
        <v>9</v>
      </c>
      <c r="L102" t="str">
        <f t="shared" si="13"/>
        <v>2024-09</v>
      </c>
      <c r="M102" s="5">
        <f t="shared" ca="1" si="14"/>
        <v>46324.534849537034</v>
      </c>
      <c r="N102">
        <f t="shared" si="15"/>
        <v>179</v>
      </c>
    </row>
    <row r="103" spans="1:14" ht="15.75" customHeight="1" x14ac:dyDescent="0.25">
      <c r="A103" s="2" t="s">
        <v>60</v>
      </c>
      <c r="B103" s="2" t="s">
        <v>26</v>
      </c>
      <c r="C103" s="2" t="s">
        <v>24</v>
      </c>
      <c r="D103" s="2" t="s">
        <v>15</v>
      </c>
      <c r="E103">
        <v>990.19</v>
      </c>
      <c r="F103" s="2">
        <v>8</v>
      </c>
      <c r="G103" s="6">
        <v>0.1</v>
      </c>
      <c r="H103" s="4">
        <v>45565</v>
      </c>
      <c r="I103" s="7">
        <v>445.59</v>
      </c>
      <c r="J103" s="7">
        <f>I103+E103*(G103-'What-If Analysis'!$B$4)</f>
        <v>445.59</v>
      </c>
      <c r="K103">
        <f t="shared" si="12"/>
        <v>9</v>
      </c>
      <c r="L103" t="str">
        <f t="shared" si="13"/>
        <v>2024-09</v>
      </c>
      <c r="M103" s="5">
        <f t="shared" ca="1" si="14"/>
        <v>46324.534849537034</v>
      </c>
      <c r="N103">
        <f t="shared" si="15"/>
        <v>96</v>
      </c>
    </row>
    <row r="104" spans="1:14" ht="15.75" customHeight="1" x14ac:dyDescent="0.25">
      <c r="A104" s="2" t="s">
        <v>44</v>
      </c>
      <c r="B104" s="2" t="s">
        <v>56</v>
      </c>
      <c r="C104" s="2" t="s">
        <v>34</v>
      </c>
      <c r="D104" s="2" t="s">
        <v>21</v>
      </c>
      <c r="E104">
        <v>1014.09</v>
      </c>
      <c r="F104" s="2">
        <v>13</v>
      </c>
      <c r="G104" s="6">
        <v>0.2</v>
      </c>
      <c r="H104" s="4">
        <v>45567</v>
      </c>
      <c r="I104" s="7">
        <v>202.82</v>
      </c>
      <c r="J104" s="7">
        <f>I104+E104*(G104-'What-If Analysis'!$B$4)</f>
        <v>304.22899999999998</v>
      </c>
      <c r="K104">
        <f t="shared" si="12"/>
        <v>10</v>
      </c>
      <c r="L104" t="str">
        <f t="shared" si="13"/>
        <v>2024-10</v>
      </c>
      <c r="M104" s="5">
        <f t="shared" ca="1" si="14"/>
        <v>46324.534849537034</v>
      </c>
      <c r="N104">
        <f t="shared" si="15"/>
        <v>91</v>
      </c>
    </row>
    <row r="105" spans="1:14" ht="15.75" customHeight="1" x14ac:dyDescent="0.25">
      <c r="A105" s="2" t="s">
        <v>13</v>
      </c>
      <c r="B105" s="2" t="s">
        <v>48</v>
      </c>
      <c r="C105" s="2" t="s">
        <v>24</v>
      </c>
      <c r="D105" s="2" t="s">
        <v>21</v>
      </c>
      <c r="E105">
        <v>925.29</v>
      </c>
      <c r="F105" s="2">
        <v>17</v>
      </c>
      <c r="G105" s="6">
        <v>0</v>
      </c>
      <c r="H105" s="4">
        <v>45570</v>
      </c>
      <c r="I105" s="7">
        <v>231.32</v>
      </c>
      <c r="J105" s="7">
        <f>I105+E105*(G105-'What-If Analysis'!$B$4)</f>
        <v>138.791</v>
      </c>
      <c r="K105">
        <f t="shared" si="12"/>
        <v>10</v>
      </c>
      <c r="L105" t="str">
        <f t="shared" si="13"/>
        <v>2024-10</v>
      </c>
      <c r="M105" s="5">
        <f t="shared" ca="1" si="14"/>
        <v>46324.534849537034</v>
      </c>
      <c r="N105">
        <f t="shared" si="15"/>
        <v>114</v>
      </c>
    </row>
    <row r="106" spans="1:14" ht="15.75" customHeight="1" x14ac:dyDescent="0.25">
      <c r="A106" s="2" t="s">
        <v>54</v>
      </c>
      <c r="B106" s="2" t="s">
        <v>47</v>
      </c>
      <c r="C106" s="2" t="s">
        <v>18</v>
      </c>
      <c r="D106" s="2" t="s">
        <v>27</v>
      </c>
      <c r="E106">
        <v>1286.54</v>
      </c>
      <c r="F106" s="2">
        <v>8</v>
      </c>
      <c r="G106" s="6">
        <v>0</v>
      </c>
      <c r="H106" s="4">
        <v>45575</v>
      </c>
      <c r="I106" s="7">
        <v>450.29</v>
      </c>
      <c r="J106" s="7">
        <f>I106+E106*(G106-'What-If Analysis'!$B$4)</f>
        <v>321.63600000000002</v>
      </c>
      <c r="K106">
        <f t="shared" si="12"/>
        <v>10</v>
      </c>
      <c r="L106" t="str">
        <f t="shared" si="13"/>
        <v>2024-10</v>
      </c>
      <c r="M106" s="5">
        <f t="shared" ca="1" si="14"/>
        <v>46324.534849537034</v>
      </c>
      <c r="N106">
        <f t="shared" si="15"/>
        <v>30</v>
      </c>
    </row>
    <row r="107" spans="1:14" ht="15.75" customHeight="1" x14ac:dyDescent="0.25">
      <c r="A107" s="2" t="s">
        <v>37</v>
      </c>
      <c r="B107" s="2" t="s">
        <v>64</v>
      </c>
      <c r="C107" s="2" t="s">
        <v>20</v>
      </c>
      <c r="D107" s="2" t="s">
        <v>12</v>
      </c>
      <c r="E107">
        <v>961.62</v>
      </c>
      <c r="F107" s="2">
        <v>8</v>
      </c>
      <c r="G107" s="6">
        <v>0.2</v>
      </c>
      <c r="H107" s="4">
        <v>45577</v>
      </c>
      <c r="I107" s="7">
        <v>307.72000000000003</v>
      </c>
      <c r="J107" s="7">
        <f>I107+E107*(G107-'What-If Analysis'!$B$4)</f>
        <v>403.88200000000006</v>
      </c>
      <c r="K107">
        <f t="shared" si="12"/>
        <v>10</v>
      </c>
      <c r="L107" t="str">
        <f t="shared" si="13"/>
        <v>2024-10</v>
      </c>
      <c r="M107" s="5">
        <f t="shared" ca="1" si="14"/>
        <v>46324.534849537034</v>
      </c>
      <c r="N107">
        <f t="shared" si="15"/>
        <v>105</v>
      </c>
    </row>
    <row r="108" spans="1:14" ht="15.75" customHeight="1" x14ac:dyDescent="0.25">
      <c r="A108" s="2" t="s">
        <v>44</v>
      </c>
      <c r="B108" s="2" t="s">
        <v>23</v>
      </c>
      <c r="C108" s="2" t="s">
        <v>18</v>
      </c>
      <c r="D108" s="2" t="s">
        <v>12</v>
      </c>
      <c r="E108">
        <v>1081.1400000000001</v>
      </c>
      <c r="F108" s="2">
        <v>19</v>
      </c>
      <c r="G108" s="6">
        <v>0.15</v>
      </c>
      <c r="H108" s="4">
        <v>45577</v>
      </c>
      <c r="I108" s="7">
        <v>367.59</v>
      </c>
      <c r="J108" s="7">
        <f>I108+E108*(G108-'What-If Analysis'!$B$4)</f>
        <v>421.64699999999999</v>
      </c>
      <c r="K108">
        <f t="shared" si="12"/>
        <v>10</v>
      </c>
      <c r="L108" t="str">
        <f t="shared" si="13"/>
        <v>2024-10</v>
      </c>
      <c r="M108" s="5">
        <f t="shared" ca="1" si="14"/>
        <v>46324.534849537034</v>
      </c>
      <c r="N108">
        <f t="shared" si="15"/>
        <v>72</v>
      </c>
    </row>
    <row r="109" spans="1:14" ht="15.75" customHeight="1" x14ac:dyDescent="0.25">
      <c r="A109" s="2" t="s">
        <v>58</v>
      </c>
      <c r="B109" s="2" t="s">
        <v>23</v>
      </c>
      <c r="C109" s="2" t="s">
        <v>11</v>
      </c>
      <c r="D109" s="2" t="s">
        <v>15</v>
      </c>
      <c r="E109">
        <v>1923.66</v>
      </c>
      <c r="F109" s="2">
        <v>9</v>
      </c>
      <c r="G109" s="6">
        <v>0.2</v>
      </c>
      <c r="H109" s="4">
        <v>45580</v>
      </c>
      <c r="I109" s="7">
        <v>769.46</v>
      </c>
      <c r="J109" s="7">
        <f>I109+E109*(G109-'What-If Analysis'!$B$4)</f>
        <v>961.82600000000002</v>
      </c>
      <c r="K109">
        <f t="shared" si="12"/>
        <v>10</v>
      </c>
      <c r="L109" t="str">
        <f t="shared" si="13"/>
        <v>2024-10</v>
      </c>
      <c r="M109" s="5">
        <f t="shared" ca="1" si="14"/>
        <v>46324.534849537034</v>
      </c>
      <c r="N109">
        <f t="shared" si="15"/>
        <v>1</v>
      </c>
    </row>
    <row r="110" spans="1:14" ht="15.75" customHeight="1" x14ac:dyDescent="0.25">
      <c r="A110" s="2" t="s">
        <v>54</v>
      </c>
      <c r="B110" s="2" t="s">
        <v>66</v>
      </c>
      <c r="C110" s="2" t="s">
        <v>34</v>
      </c>
      <c r="D110" s="2" t="s">
        <v>15</v>
      </c>
      <c r="E110">
        <v>728.71</v>
      </c>
      <c r="F110" s="2">
        <v>14</v>
      </c>
      <c r="G110" s="6">
        <v>0.1</v>
      </c>
      <c r="H110" s="4">
        <v>45581</v>
      </c>
      <c r="I110" s="7">
        <v>327.92</v>
      </c>
      <c r="J110" s="7">
        <f>I110+E110*(G110-'What-If Analysis'!$B$4)</f>
        <v>327.92</v>
      </c>
      <c r="K110">
        <f t="shared" si="12"/>
        <v>10</v>
      </c>
      <c r="L110" t="str">
        <f t="shared" si="13"/>
        <v>2024-10</v>
      </c>
      <c r="M110" s="5">
        <f t="shared" ca="1" si="14"/>
        <v>46324.534849537034</v>
      </c>
      <c r="N110">
        <f t="shared" si="15"/>
        <v>159</v>
      </c>
    </row>
    <row r="111" spans="1:14" ht="15.75" customHeight="1" x14ac:dyDescent="0.25">
      <c r="A111" s="2" t="s">
        <v>9</v>
      </c>
      <c r="B111" s="2" t="s">
        <v>33</v>
      </c>
      <c r="C111" s="2" t="s">
        <v>34</v>
      </c>
      <c r="D111" s="2" t="s">
        <v>15</v>
      </c>
      <c r="E111">
        <v>1301.8900000000001</v>
      </c>
      <c r="F111" s="2">
        <v>7</v>
      </c>
      <c r="G111" s="6">
        <v>0.15</v>
      </c>
      <c r="H111" s="4">
        <v>45581</v>
      </c>
      <c r="I111" s="7">
        <v>553.29999999999995</v>
      </c>
      <c r="J111" s="7">
        <f>I111+E111*(G111-'What-If Analysis'!$B$4)</f>
        <v>618.39449999999999</v>
      </c>
      <c r="K111">
        <f t="shared" si="12"/>
        <v>10</v>
      </c>
      <c r="L111" t="str">
        <f t="shared" si="13"/>
        <v>2024-10</v>
      </c>
      <c r="M111" s="5">
        <f t="shared" ca="1" si="14"/>
        <v>46324.534849537034</v>
      </c>
      <c r="N111">
        <f t="shared" si="15"/>
        <v>28</v>
      </c>
    </row>
    <row r="112" spans="1:14" ht="15.75" customHeight="1" x14ac:dyDescent="0.25">
      <c r="A112" s="2" t="s">
        <v>70</v>
      </c>
      <c r="B112" s="2" t="s">
        <v>66</v>
      </c>
      <c r="C112" s="2" t="s">
        <v>18</v>
      </c>
      <c r="D112" s="2" t="s">
        <v>12</v>
      </c>
      <c r="E112">
        <v>980.18</v>
      </c>
      <c r="F112" s="2">
        <v>16</v>
      </c>
      <c r="G112" s="6">
        <v>0.1</v>
      </c>
      <c r="H112" s="4">
        <v>45582</v>
      </c>
      <c r="I112" s="7">
        <v>352.86</v>
      </c>
      <c r="J112" s="7">
        <f>I112+E112*(G112-'What-If Analysis'!$B$4)</f>
        <v>352.86</v>
      </c>
      <c r="K112">
        <f t="shared" si="12"/>
        <v>10</v>
      </c>
      <c r="L112" t="str">
        <f t="shared" si="13"/>
        <v>2024-10</v>
      </c>
      <c r="M112" s="5">
        <f t="shared" ca="1" si="14"/>
        <v>46324.534849537034</v>
      </c>
      <c r="N112">
        <f t="shared" si="15"/>
        <v>100</v>
      </c>
    </row>
    <row r="113" spans="1:14" ht="15.75" customHeight="1" x14ac:dyDescent="0.25">
      <c r="A113" s="2" t="s">
        <v>74</v>
      </c>
      <c r="B113" s="2" t="s">
        <v>23</v>
      </c>
      <c r="C113" s="2" t="s">
        <v>11</v>
      </c>
      <c r="D113" s="2" t="s">
        <v>15</v>
      </c>
      <c r="E113">
        <v>697.57</v>
      </c>
      <c r="F113" s="2">
        <v>17</v>
      </c>
      <c r="G113" s="6">
        <v>0.1</v>
      </c>
      <c r="H113" s="4">
        <v>45584</v>
      </c>
      <c r="I113" s="7">
        <v>313.91000000000003</v>
      </c>
      <c r="J113" s="7">
        <f>I113+E113*(G113-'What-If Analysis'!$B$4)</f>
        <v>313.91000000000003</v>
      </c>
      <c r="K113">
        <f t="shared" si="12"/>
        <v>10</v>
      </c>
      <c r="L113" t="str">
        <f t="shared" si="13"/>
        <v>2024-10</v>
      </c>
      <c r="M113" s="5">
        <f t="shared" ca="1" si="14"/>
        <v>46324.534849537034</v>
      </c>
      <c r="N113">
        <f t="shared" si="15"/>
        <v>167</v>
      </c>
    </row>
    <row r="114" spans="1:14" ht="15.75" customHeight="1" x14ac:dyDescent="0.25">
      <c r="A114" s="2" t="s">
        <v>46</v>
      </c>
      <c r="B114" s="2" t="s">
        <v>71</v>
      </c>
      <c r="C114" s="2" t="s">
        <v>11</v>
      </c>
      <c r="D114" s="2" t="s">
        <v>27</v>
      </c>
      <c r="E114">
        <v>1193.6099999999999</v>
      </c>
      <c r="F114" s="2">
        <v>1</v>
      </c>
      <c r="G114" s="6">
        <v>0.15</v>
      </c>
      <c r="H114" s="4">
        <v>45584</v>
      </c>
      <c r="I114" s="7">
        <v>355.1</v>
      </c>
      <c r="J114" s="7">
        <f>I114+E114*(G114-'What-If Analysis'!$B$4)</f>
        <v>414.78050000000002</v>
      </c>
      <c r="K114">
        <f t="shared" si="12"/>
        <v>10</v>
      </c>
      <c r="L114" t="str">
        <f t="shared" si="13"/>
        <v>2024-10</v>
      </c>
      <c r="M114" s="5">
        <f t="shared" ca="1" si="14"/>
        <v>46324.534849537034</v>
      </c>
      <c r="N114">
        <f t="shared" si="15"/>
        <v>45</v>
      </c>
    </row>
    <row r="115" spans="1:14" ht="15.75" customHeight="1" x14ac:dyDescent="0.25">
      <c r="A115" s="2" t="s">
        <v>32</v>
      </c>
      <c r="B115" s="2" t="s">
        <v>38</v>
      </c>
      <c r="C115" s="2" t="s">
        <v>20</v>
      </c>
      <c r="D115" s="2" t="s">
        <v>21</v>
      </c>
      <c r="E115">
        <v>771.02</v>
      </c>
      <c r="F115" s="2">
        <v>1</v>
      </c>
      <c r="G115" s="6">
        <v>0</v>
      </c>
      <c r="H115" s="4">
        <v>45585</v>
      </c>
      <c r="I115" s="7">
        <v>192.76</v>
      </c>
      <c r="J115" s="7">
        <f>I115+E115*(G115-'What-If Analysis'!$B$4)</f>
        <v>115.65799999999999</v>
      </c>
      <c r="K115">
        <f t="shared" si="12"/>
        <v>10</v>
      </c>
      <c r="L115" t="str">
        <f t="shared" si="13"/>
        <v>2024-10</v>
      </c>
      <c r="M115" s="5">
        <f t="shared" ca="1" si="14"/>
        <v>46324.534849537034</v>
      </c>
      <c r="N115">
        <f t="shared" si="15"/>
        <v>149</v>
      </c>
    </row>
    <row r="116" spans="1:14" ht="15.75" customHeight="1" x14ac:dyDescent="0.25">
      <c r="A116" s="2" t="s">
        <v>67</v>
      </c>
      <c r="B116" s="2" t="s">
        <v>69</v>
      </c>
      <c r="C116" s="2" t="s">
        <v>24</v>
      </c>
      <c r="D116" s="2" t="s">
        <v>15</v>
      </c>
      <c r="E116">
        <v>661.09</v>
      </c>
      <c r="F116" s="2">
        <v>1</v>
      </c>
      <c r="G116" s="6">
        <v>0.2</v>
      </c>
      <c r="H116" s="4">
        <v>45593</v>
      </c>
      <c r="I116" s="7">
        <v>264.44</v>
      </c>
      <c r="J116" s="7">
        <f>I116+E116*(G116-'What-If Analysis'!$B$4)</f>
        <v>330.54899999999998</v>
      </c>
      <c r="K116">
        <f t="shared" si="12"/>
        <v>10</v>
      </c>
      <c r="L116" t="str">
        <f t="shared" si="13"/>
        <v>2024-10</v>
      </c>
      <c r="M116" s="5">
        <f t="shared" ca="1" si="14"/>
        <v>46324.534849537034</v>
      </c>
      <c r="N116">
        <f t="shared" si="15"/>
        <v>174</v>
      </c>
    </row>
    <row r="117" spans="1:14" ht="15.75" customHeight="1" x14ac:dyDescent="0.25">
      <c r="A117" s="2" t="s">
        <v>13</v>
      </c>
      <c r="B117" s="2" t="s">
        <v>55</v>
      </c>
      <c r="C117" s="2" t="s">
        <v>11</v>
      </c>
      <c r="D117" s="2" t="s">
        <v>21</v>
      </c>
      <c r="E117">
        <v>688.83</v>
      </c>
      <c r="F117" s="2">
        <v>15</v>
      </c>
      <c r="G117" s="6">
        <v>0</v>
      </c>
      <c r="H117" s="4">
        <v>45595</v>
      </c>
      <c r="I117" s="7">
        <v>172.21</v>
      </c>
      <c r="J117" s="7">
        <f>I117+E117*(G117-'What-If Analysis'!$B$4)</f>
        <v>103.327</v>
      </c>
      <c r="K117">
        <f t="shared" si="12"/>
        <v>10</v>
      </c>
      <c r="L117" t="str">
        <f t="shared" si="13"/>
        <v>2024-10</v>
      </c>
      <c r="M117" s="5">
        <f t="shared" ca="1" si="14"/>
        <v>46324.534849537034</v>
      </c>
      <c r="N117">
        <f t="shared" si="15"/>
        <v>169</v>
      </c>
    </row>
    <row r="118" spans="1:14" ht="15.75" customHeight="1" x14ac:dyDescent="0.25">
      <c r="A118" s="2" t="s">
        <v>73</v>
      </c>
      <c r="B118" s="2" t="s">
        <v>29</v>
      </c>
      <c r="C118" s="2" t="s">
        <v>34</v>
      </c>
      <c r="D118" s="2" t="s">
        <v>12</v>
      </c>
      <c r="E118">
        <v>1249.0999999999999</v>
      </c>
      <c r="F118" s="2">
        <v>4</v>
      </c>
      <c r="G118" s="6">
        <v>0.05</v>
      </c>
      <c r="H118" s="4">
        <v>45597</v>
      </c>
      <c r="I118" s="7">
        <v>474.66</v>
      </c>
      <c r="J118" s="7">
        <f>I118+E118*(G118-'What-If Analysis'!$B$4)</f>
        <v>412.20500000000004</v>
      </c>
      <c r="K118">
        <f t="shared" si="12"/>
        <v>11</v>
      </c>
      <c r="L118" t="str">
        <f t="shared" si="13"/>
        <v>2024-11</v>
      </c>
      <c r="M118" s="5">
        <f t="shared" ca="1" si="14"/>
        <v>46324.534849537034</v>
      </c>
      <c r="N118">
        <f t="shared" si="15"/>
        <v>35</v>
      </c>
    </row>
    <row r="119" spans="1:14" ht="15.75" customHeight="1" x14ac:dyDescent="0.25">
      <c r="A119" s="2" t="s">
        <v>44</v>
      </c>
      <c r="B119" s="2" t="s">
        <v>23</v>
      </c>
      <c r="C119" s="2" t="s">
        <v>18</v>
      </c>
      <c r="D119" s="2" t="s">
        <v>39</v>
      </c>
      <c r="E119">
        <v>1014.22</v>
      </c>
      <c r="F119" s="2">
        <v>14</v>
      </c>
      <c r="G119" s="6">
        <v>0.05</v>
      </c>
      <c r="H119" s="4">
        <v>45599</v>
      </c>
      <c r="I119" s="7">
        <v>433.58</v>
      </c>
      <c r="J119" s="7">
        <f>I119+E119*(G119-'What-If Analysis'!$B$4)</f>
        <v>382.86899999999997</v>
      </c>
      <c r="K119">
        <f t="shared" si="12"/>
        <v>11</v>
      </c>
      <c r="L119" t="str">
        <f t="shared" si="13"/>
        <v>2024-11</v>
      </c>
      <c r="M119" s="5">
        <f t="shared" ca="1" si="14"/>
        <v>46324.534849537034</v>
      </c>
      <c r="N119">
        <f t="shared" si="15"/>
        <v>90</v>
      </c>
    </row>
    <row r="120" spans="1:14" ht="15.75" customHeight="1" x14ac:dyDescent="0.25">
      <c r="A120" s="2" t="s">
        <v>54</v>
      </c>
      <c r="B120" s="2" t="s">
        <v>48</v>
      </c>
      <c r="C120" s="2" t="s">
        <v>18</v>
      </c>
      <c r="D120" s="2" t="s">
        <v>12</v>
      </c>
      <c r="E120">
        <v>1010.58</v>
      </c>
      <c r="F120" s="2">
        <v>2</v>
      </c>
      <c r="G120" s="6">
        <v>0.15</v>
      </c>
      <c r="H120" s="4">
        <v>45605</v>
      </c>
      <c r="I120" s="7">
        <v>343.6</v>
      </c>
      <c r="J120" s="7">
        <f>I120+E120*(G120-'What-If Analysis'!$B$4)</f>
        <v>394.12900000000002</v>
      </c>
      <c r="K120">
        <f t="shared" si="12"/>
        <v>11</v>
      </c>
      <c r="L120" t="str">
        <f t="shared" si="13"/>
        <v>2024-11</v>
      </c>
      <c r="M120" s="5">
        <f t="shared" ca="1" si="14"/>
        <v>46324.534849537034</v>
      </c>
      <c r="N120">
        <f t="shared" si="15"/>
        <v>92</v>
      </c>
    </row>
    <row r="121" spans="1:14" ht="15.75" customHeight="1" x14ac:dyDescent="0.25">
      <c r="A121" s="2" t="s">
        <v>30</v>
      </c>
      <c r="B121" s="2" t="s">
        <v>59</v>
      </c>
      <c r="C121" s="2" t="s">
        <v>24</v>
      </c>
      <c r="D121" s="2" t="s">
        <v>27</v>
      </c>
      <c r="E121">
        <v>957.29</v>
      </c>
      <c r="F121" s="2">
        <v>4</v>
      </c>
      <c r="G121" s="6">
        <v>0.05</v>
      </c>
      <c r="H121" s="4">
        <v>45605</v>
      </c>
      <c r="I121" s="7">
        <v>318.3</v>
      </c>
      <c r="J121" s="7">
        <f>I121+E121*(G121-'What-If Analysis'!$B$4)</f>
        <v>270.43549999999999</v>
      </c>
      <c r="K121">
        <f t="shared" si="12"/>
        <v>11</v>
      </c>
      <c r="L121" t="str">
        <f t="shared" si="13"/>
        <v>2024-11</v>
      </c>
      <c r="M121" s="5">
        <f t="shared" ca="1" si="14"/>
        <v>46324.534849537034</v>
      </c>
      <c r="N121">
        <f t="shared" si="15"/>
        <v>106</v>
      </c>
    </row>
    <row r="122" spans="1:14" ht="15.75" customHeight="1" x14ac:dyDescent="0.25">
      <c r="A122" s="2" t="s">
        <v>28</v>
      </c>
      <c r="B122" s="2" t="s">
        <v>45</v>
      </c>
      <c r="C122" s="2" t="s">
        <v>24</v>
      </c>
      <c r="D122" s="2" t="s">
        <v>27</v>
      </c>
      <c r="E122">
        <v>1077.92</v>
      </c>
      <c r="F122" s="2">
        <v>3</v>
      </c>
      <c r="G122" s="6">
        <v>0.05</v>
      </c>
      <c r="H122" s="4">
        <v>45608</v>
      </c>
      <c r="I122" s="7">
        <v>358.41</v>
      </c>
      <c r="J122" s="7">
        <f>I122+E122*(G122-'What-If Analysis'!$B$4)</f>
        <v>304.51400000000001</v>
      </c>
      <c r="K122">
        <f t="shared" si="12"/>
        <v>11</v>
      </c>
      <c r="L122" t="str">
        <f t="shared" si="13"/>
        <v>2024-11</v>
      </c>
      <c r="M122" s="5">
        <f t="shared" ca="1" si="14"/>
        <v>46324.534849537034</v>
      </c>
      <c r="N122">
        <f t="shared" si="15"/>
        <v>73</v>
      </c>
    </row>
    <row r="123" spans="1:14" ht="15.75" customHeight="1" x14ac:dyDescent="0.25">
      <c r="A123" s="2" t="s">
        <v>52</v>
      </c>
      <c r="B123" s="2" t="s">
        <v>50</v>
      </c>
      <c r="C123" s="2" t="s">
        <v>20</v>
      </c>
      <c r="D123" s="2" t="s">
        <v>15</v>
      </c>
      <c r="E123">
        <v>1163.01</v>
      </c>
      <c r="F123" s="2">
        <v>5</v>
      </c>
      <c r="G123" s="6">
        <v>0</v>
      </c>
      <c r="H123" s="4">
        <v>45611</v>
      </c>
      <c r="I123" s="7">
        <v>581.5</v>
      </c>
      <c r="J123" s="7">
        <f>I123+E123*(G123-'What-If Analysis'!$B$4)</f>
        <v>465.19900000000001</v>
      </c>
      <c r="K123">
        <f t="shared" si="12"/>
        <v>11</v>
      </c>
      <c r="L123" t="str">
        <f t="shared" si="13"/>
        <v>2024-11</v>
      </c>
      <c r="M123" s="5">
        <f t="shared" ca="1" si="14"/>
        <v>46324.534849537034</v>
      </c>
      <c r="N123">
        <f t="shared" si="15"/>
        <v>54</v>
      </c>
    </row>
    <row r="124" spans="1:14" ht="15.75" customHeight="1" x14ac:dyDescent="0.25">
      <c r="A124" s="2" t="s">
        <v>54</v>
      </c>
      <c r="B124" s="2" t="s">
        <v>45</v>
      </c>
      <c r="C124" s="2" t="s">
        <v>18</v>
      </c>
      <c r="D124" s="2" t="s">
        <v>39</v>
      </c>
      <c r="E124">
        <v>1014.56</v>
      </c>
      <c r="F124" s="2">
        <v>10</v>
      </c>
      <c r="G124" s="6">
        <v>0.1</v>
      </c>
      <c r="H124" s="4">
        <v>45612</v>
      </c>
      <c r="I124" s="7">
        <v>410.9</v>
      </c>
      <c r="J124" s="7">
        <f>I124+E124*(G124-'What-If Analysis'!$B$4)</f>
        <v>410.9</v>
      </c>
      <c r="K124">
        <f t="shared" si="12"/>
        <v>11</v>
      </c>
      <c r="L124" t="str">
        <f t="shared" si="13"/>
        <v>2024-11</v>
      </c>
      <c r="M124" s="5">
        <f t="shared" ca="1" si="14"/>
        <v>46324.534849537034</v>
      </c>
      <c r="N124">
        <f t="shared" si="15"/>
        <v>88</v>
      </c>
    </row>
    <row r="125" spans="1:14" ht="15.75" customHeight="1" x14ac:dyDescent="0.25">
      <c r="A125" s="2" t="s">
        <v>9</v>
      </c>
      <c r="B125" s="2" t="s">
        <v>17</v>
      </c>
      <c r="C125" s="2" t="s">
        <v>20</v>
      </c>
      <c r="D125" s="2" t="s">
        <v>21</v>
      </c>
      <c r="E125">
        <v>718.04</v>
      </c>
      <c r="F125" s="2">
        <v>14</v>
      </c>
      <c r="G125" s="6">
        <v>0</v>
      </c>
      <c r="H125" s="4">
        <v>45613</v>
      </c>
      <c r="I125" s="7">
        <v>179.51</v>
      </c>
      <c r="J125" s="7">
        <f>I125+E125*(G125-'What-If Analysis'!$B$4)</f>
        <v>107.70599999999999</v>
      </c>
      <c r="K125">
        <f t="shared" si="12"/>
        <v>11</v>
      </c>
      <c r="L125" t="str">
        <f t="shared" si="13"/>
        <v>2024-11</v>
      </c>
      <c r="M125" s="5">
        <f t="shared" ca="1" si="14"/>
        <v>46324.534849537034</v>
      </c>
      <c r="N125">
        <f t="shared" si="15"/>
        <v>161</v>
      </c>
    </row>
    <row r="126" spans="1:14" ht="15.75" customHeight="1" x14ac:dyDescent="0.25">
      <c r="A126" s="2" t="s">
        <v>72</v>
      </c>
      <c r="B126" s="2" t="s">
        <v>17</v>
      </c>
      <c r="C126" s="2" t="s">
        <v>34</v>
      </c>
      <c r="D126" s="2" t="s">
        <v>15</v>
      </c>
      <c r="E126">
        <v>1277.8499999999999</v>
      </c>
      <c r="F126" s="2">
        <v>18</v>
      </c>
      <c r="G126" s="6">
        <v>0.2</v>
      </c>
      <c r="H126" s="4">
        <v>45613</v>
      </c>
      <c r="I126" s="7">
        <v>511.14</v>
      </c>
      <c r="J126" s="7">
        <f>I126+E126*(G126-'What-If Analysis'!$B$4)</f>
        <v>638.92499999999995</v>
      </c>
      <c r="K126">
        <f t="shared" si="12"/>
        <v>11</v>
      </c>
      <c r="L126" t="str">
        <f t="shared" si="13"/>
        <v>2024-11</v>
      </c>
      <c r="M126" s="5">
        <f t="shared" ca="1" si="14"/>
        <v>46324.534849537034</v>
      </c>
      <c r="N126">
        <f t="shared" si="15"/>
        <v>31</v>
      </c>
    </row>
    <row r="127" spans="1:14" ht="15.75" customHeight="1" x14ac:dyDescent="0.25">
      <c r="A127" s="2" t="s">
        <v>70</v>
      </c>
      <c r="B127" s="2" t="s">
        <v>23</v>
      </c>
      <c r="C127" s="2" t="s">
        <v>24</v>
      </c>
      <c r="D127" s="2" t="s">
        <v>21</v>
      </c>
      <c r="E127">
        <v>706.73</v>
      </c>
      <c r="F127" s="2">
        <v>1</v>
      </c>
      <c r="G127" s="6">
        <v>0.15</v>
      </c>
      <c r="H127" s="4">
        <v>45613</v>
      </c>
      <c r="I127" s="7">
        <v>150.18</v>
      </c>
      <c r="J127" s="7">
        <f>I127+E127*(G127-'What-If Analysis'!$B$4)</f>
        <v>185.51650000000001</v>
      </c>
      <c r="K127">
        <f t="shared" si="12"/>
        <v>11</v>
      </c>
      <c r="L127" t="str">
        <f t="shared" si="13"/>
        <v>2024-11</v>
      </c>
      <c r="M127" s="5">
        <f t="shared" ca="1" si="14"/>
        <v>46324.534849537034</v>
      </c>
      <c r="N127">
        <f t="shared" si="15"/>
        <v>164</v>
      </c>
    </row>
    <row r="128" spans="1:14" ht="15.75" customHeight="1" x14ac:dyDescent="0.25">
      <c r="A128" s="2" t="s">
        <v>65</v>
      </c>
      <c r="B128" s="2" t="s">
        <v>50</v>
      </c>
      <c r="C128" s="2" t="s">
        <v>18</v>
      </c>
      <c r="D128" s="2" t="s">
        <v>21</v>
      </c>
      <c r="E128">
        <v>1410.59</v>
      </c>
      <c r="F128" s="2">
        <v>15</v>
      </c>
      <c r="G128" s="6">
        <v>0</v>
      </c>
      <c r="H128" s="4">
        <v>45615</v>
      </c>
      <c r="I128" s="7">
        <v>352.65</v>
      </c>
      <c r="J128" s="7">
        <f>I128+E128*(G128-'What-If Analysis'!$B$4)</f>
        <v>211.59099999999998</v>
      </c>
      <c r="K128">
        <f t="shared" si="12"/>
        <v>11</v>
      </c>
      <c r="L128" t="str">
        <f t="shared" si="13"/>
        <v>2024-11</v>
      </c>
      <c r="M128" s="5">
        <f t="shared" ca="1" si="14"/>
        <v>46324.534849537034</v>
      </c>
      <c r="N128">
        <f t="shared" si="15"/>
        <v>17</v>
      </c>
    </row>
    <row r="129" spans="1:14" ht="15.75" customHeight="1" x14ac:dyDescent="0.25">
      <c r="A129" s="2" t="s">
        <v>32</v>
      </c>
      <c r="B129" s="2" t="s">
        <v>61</v>
      </c>
      <c r="C129" s="2" t="s">
        <v>20</v>
      </c>
      <c r="D129" s="2" t="s">
        <v>27</v>
      </c>
      <c r="E129">
        <v>1350.33</v>
      </c>
      <c r="F129" s="2">
        <v>10</v>
      </c>
      <c r="G129" s="6">
        <v>0</v>
      </c>
      <c r="H129" s="4">
        <v>45615</v>
      </c>
      <c r="I129" s="7">
        <v>472.62</v>
      </c>
      <c r="J129" s="7">
        <f>I129+E129*(G129-'What-If Analysis'!$B$4)</f>
        <v>337.58699999999999</v>
      </c>
      <c r="K129">
        <f t="shared" si="12"/>
        <v>11</v>
      </c>
      <c r="L129" t="str">
        <f t="shared" si="13"/>
        <v>2024-11</v>
      </c>
      <c r="M129" s="5">
        <f t="shared" ca="1" si="14"/>
        <v>46324.534849537034</v>
      </c>
      <c r="N129">
        <f t="shared" si="15"/>
        <v>23</v>
      </c>
    </row>
    <row r="130" spans="1:14" ht="15.75" customHeight="1" x14ac:dyDescent="0.25">
      <c r="A130" s="2" t="s">
        <v>41</v>
      </c>
      <c r="B130" s="2" t="s">
        <v>45</v>
      </c>
      <c r="C130" s="2" t="s">
        <v>18</v>
      </c>
      <c r="D130" s="2" t="s">
        <v>21</v>
      </c>
      <c r="E130">
        <v>919.18</v>
      </c>
      <c r="F130" s="2">
        <v>4</v>
      </c>
      <c r="G130" s="6">
        <v>0.15</v>
      </c>
      <c r="H130" s="4">
        <v>45615</v>
      </c>
      <c r="I130" s="7">
        <v>195.33</v>
      </c>
      <c r="J130" s="7">
        <f>I130+E130*(G130-'What-If Analysis'!$B$4)</f>
        <v>241.28899999999999</v>
      </c>
      <c r="K130">
        <f t="shared" ref="K130:K161" si="16">MONTH(H130)</f>
        <v>11</v>
      </c>
      <c r="L130" t="str">
        <f t="shared" ref="L130:L161" si="17">TEXT(H130,"yyyy-mm")</f>
        <v>2024-11</v>
      </c>
      <c r="M130" s="5">
        <f t="shared" ref="M130:M161" ca="1" si="18">NOW()</f>
        <v>46324.534849537034</v>
      </c>
      <c r="N130">
        <f t="shared" ref="N130:N161" si="19">_xlfn.RANK.EQ(E130,$E$2:$E$201,0)</f>
        <v>115</v>
      </c>
    </row>
    <row r="131" spans="1:14" ht="15.75" customHeight="1" x14ac:dyDescent="0.25">
      <c r="A131" s="2" t="s">
        <v>74</v>
      </c>
      <c r="B131" s="2" t="s">
        <v>23</v>
      </c>
      <c r="C131" s="2" t="s">
        <v>11</v>
      </c>
      <c r="D131" s="2" t="s">
        <v>21</v>
      </c>
      <c r="E131">
        <v>258.51</v>
      </c>
      <c r="F131" s="2">
        <v>19</v>
      </c>
      <c r="G131" s="6">
        <v>0</v>
      </c>
      <c r="H131" s="4">
        <v>45616</v>
      </c>
      <c r="I131" s="7">
        <v>64.63</v>
      </c>
      <c r="J131" s="7">
        <f>I131+E131*(G131-'What-If Analysis'!$B$4)</f>
        <v>38.778999999999996</v>
      </c>
      <c r="K131">
        <f t="shared" si="16"/>
        <v>11</v>
      </c>
      <c r="L131" t="str">
        <f t="shared" si="17"/>
        <v>2024-11</v>
      </c>
      <c r="M131" s="5">
        <f t="shared" ca="1" si="18"/>
        <v>46324.534849537034</v>
      </c>
      <c r="N131">
        <f t="shared" si="19"/>
        <v>200</v>
      </c>
    </row>
    <row r="132" spans="1:14" ht="15.75" customHeight="1" x14ac:dyDescent="0.25">
      <c r="A132" s="2" t="s">
        <v>63</v>
      </c>
      <c r="B132" s="2" t="s">
        <v>61</v>
      </c>
      <c r="C132" s="2" t="s">
        <v>18</v>
      </c>
      <c r="D132" s="2" t="s">
        <v>12</v>
      </c>
      <c r="E132">
        <v>1213.48</v>
      </c>
      <c r="F132" s="2">
        <v>5</v>
      </c>
      <c r="G132" s="6">
        <v>0.05</v>
      </c>
      <c r="H132" s="4">
        <v>45616</v>
      </c>
      <c r="I132" s="7">
        <v>461.12</v>
      </c>
      <c r="J132" s="7">
        <f>I132+E132*(G132-'What-If Analysis'!$B$4)</f>
        <v>400.44600000000003</v>
      </c>
      <c r="K132">
        <f t="shared" si="16"/>
        <v>11</v>
      </c>
      <c r="L132" t="str">
        <f t="shared" si="17"/>
        <v>2024-11</v>
      </c>
      <c r="M132" s="5">
        <f t="shared" ca="1" si="18"/>
        <v>46324.534849537034</v>
      </c>
      <c r="N132">
        <f t="shared" si="19"/>
        <v>42</v>
      </c>
    </row>
    <row r="133" spans="1:14" ht="15.75" customHeight="1" x14ac:dyDescent="0.25">
      <c r="A133" s="2" t="s">
        <v>57</v>
      </c>
      <c r="B133" s="2" t="s">
        <v>38</v>
      </c>
      <c r="C133" s="2" t="s">
        <v>34</v>
      </c>
      <c r="D133" s="2" t="s">
        <v>12</v>
      </c>
      <c r="E133">
        <v>1150.28</v>
      </c>
      <c r="F133" s="2">
        <v>8</v>
      </c>
      <c r="G133" s="6">
        <v>0.05</v>
      </c>
      <c r="H133" s="4">
        <v>45622</v>
      </c>
      <c r="I133" s="7">
        <v>437.11</v>
      </c>
      <c r="J133" s="7">
        <f>I133+E133*(G133-'What-If Analysis'!$B$4)</f>
        <v>379.596</v>
      </c>
      <c r="K133">
        <f t="shared" si="16"/>
        <v>11</v>
      </c>
      <c r="L133" t="str">
        <f t="shared" si="17"/>
        <v>2024-11</v>
      </c>
      <c r="M133" s="5">
        <f t="shared" ca="1" si="18"/>
        <v>46324.534849537034</v>
      </c>
      <c r="N133">
        <f t="shared" si="19"/>
        <v>59</v>
      </c>
    </row>
    <row r="134" spans="1:14" ht="15.75" customHeight="1" x14ac:dyDescent="0.25">
      <c r="A134" s="2" t="s">
        <v>37</v>
      </c>
      <c r="B134" s="2" t="s">
        <v>71</v>
      </c>
      <c r="C134" s="2" t="s">
        <v>20</v>
      </c>
      <c r="D134" s="2" t="s">
        <v>27</v>
      </c>
      <c r="E134">
        <v>853.86</v>
      </c>
      <c r="F134" s="2">
        <v>8</v>
      </c>
      <c r="G134" s="6">
        <v>0.1</v>
      </c>
      <c r="H134" s="4">
        <v>45622</v>
      </c>
      <c r="I134" s="7">
        <v>268.97000000000003</v>
      </c>
      <c r="J134" s="7">
        <f>I134+E134*(G134-'What-If Analysis'!$B$4)</f>
        <v>268.97000000000003</v>
      </c>
      <c r="K134">
        <f t="shared" si="16"/>
        <v>11</v>
      </c>
      <c r="L134" t="str">
        <f t="shared" si="17"/>
        <v>2024-11</v>
      </c>
      <c r="M134" s="5">
        <f t="shared" ca="1" si="18"/>
        <v>46324.534849537034</v>
      </c>
      <c r="N134">
        <f t="shared" si="19"/>
        <v>129</v>
      </c>
    </row>
    <row r="135" spans="1:14" ht="15.75" customHeight="1" x14ac:dyDescent="0.25">
      <c r="A135" s="2" t="s">
        <v>75</v>
      </c>
      <c r="B135" s="2" t="s">
        <v>45</v>
      </c>
      <c r="C135" s="2" t="s">
        <v>20</v>
      </c>
      <c r="D135" s="2" t="s">
        <v>21</v>
      </c>
      <c r="E135">
        <v>1061.04</v>
      </c>
      <c r="F135" s="2">
        <v>1</v>
      </c>
      <c r="G135" s="6">
        <v>0</v>
      </c>
      <c r="H135" s="4">
        <v>45624</v>
      </c>
      <c r="I135" s="7">
        <v>265.26</v>
      </c>
      <c r="J135" s="7">
        <f>I135+E135*(G135-'What-If Analysis'!$B$4)</f>
        <v>159.15600000000001</v>
      </c>
      <c r="K135">
        <f t="shared" si="16"/>
        <v>11</v>
      </c>
      <c r="L135" t="str">
        <f t="shared" si="17"/>
        <v>2024-11</v>
      </c>
      <c r="M135" s="5">
        <f t="shared" ca="1" si="18"/>
        <v>46324.534849537034</v>
      </c>
      <c r="N135">
        <f t="shared" si="19"/>
        <v>78</v>
      </c>
    </row>
    <row r="136" spans="1:14" ht="15.75" customHeight="1" x14ac:dyDescent="0.25">
      <c r="A136" s="2" t="s">
        <v>28</v>
      </c>
      <c r="B136" s="2" t="s">
        <v>43</v>
      </c>
      <c r="C136" s="2" t="s">
        <v>11</v>
      </c>
      <c r="D136" s="2" t="s">
        <v>21</v>
      </c>
      <c r="E136">
        <v>894.55</v>
      </c>
      <c r="F136" s="2">
        <v>19</v>
      </c>
      <c r="G136" s="6">
        <v>0.2</v>
      </c>
      <c r="H136" s="4">
        <v>45625</v>
      </c>
      <c r="I136" s="7">
        <v>178.91</v>
      </c>
      <c r="J136" s="7">
        <f>I136+E136*(G136-'What-If Analysis'!$B$4)</f>
        <v>268.36500000000001</v>
      </c>
      <c r="K136">
        <f t="shared" si="16"/>
        <v>11</v>
      </c>
      <c r="L136" t="str">
        <f t="shared" si="17"/>
        <v>2024-11</v>
      </c>
      <c r="M136" s="5">
        <f t="shared" ca="1" si="18"/>
        <v>46324.534849537034</v>
      </c>
      <c r="N136">
        <f t="shared" si="19"/>
        <v>119</v>
      </c>
    </row>
    <row r="137" spans="1:14" ht="15.75" customHeight="1" x14ac:dyDescent="0.25">
      <c r="A137" s="2" t="s">
        <v>25</v>
      </c>
      <c r="B137" s="2" t="s">
        <v>38</v>
      </c>
      <c r="C137" s="2" t="s">
        <v>24</v>
      </c>
      <c r="D137" s="2" t="s">
        <v>39</v>
      </c>
      <c r="E137">
        <v>833.91</v>
      </c>
      <c r="F137" s="2">
        <v>3</v>
      </c>
      <c r="G137" s="6">
        <v>0.05</v>
      </c>
      <c r="H137" s="4">
        <v>45626</v>
      </c>
      <c r="I137" s="7">
        <v>356.5</v>
      </c>
      <c r="J137" s="7">
        <f>I137+E137*(G137-'What-If Analysis'!$B$4)</f>
        <v>314.80450000000002</v>
      </c>
      <c r="K137">
        <f t="shared" si="16"/>
        <v>11</v>
      </c>
      <c r="L137" t="str">
        <f t="shared" si="17"/>
        <v>2024-11</v>
      </c>
      <c r="M137" s="5">
        <f t="shared" ca="1" si="18"/>
        <v>46324.534849537034</v>
      </c>
      <c r="N137">
        <f t="shared" si="19"/>
        <v>135</v>
      </c>
    </row>
    <row r="138" spans="1:14" ht="15.75" customHeight="1" x14ac:dyDescent="0.25">
      <c r="A138" s="2" t="s">
        <v>58</v>
      </c>
      <c r="B138" s="2" t="s">
        <v>71</v>
      </c>
      <c r="C138" s="2" t="s">
        <v>11</v>
      </c>
      <c r="D138" s="2" t="s">
        <v>27</v>
      </c>
      <c r="E138">
        <v>820.19</v>
      </c>
      <c r="F138" s="2">
        <v>4</v>
      </c>
      <c r="G138" s="6">
        <v>0.2</v>
      </c>
      <c r="H138" s="4">
        <v>45630</v>
      </c>
      <c r="I138" s="7">
        <v>229.65</v>
      </c>
      <c r="J138" s="7">
        <f>I138+E138*(G138-'What-If Analysis'!$B$4)</f>
        <v>311.66899999999998</v>
      </c>
      <c r="K138">
        <f t="shared" si="16"/>
        <v>12</v>
      </c>
      <c r="L138" t="str">
        <f t="shared" si="17"/>
        <v>2024-12</v>
      </c>
      <c r="M138" s="5">
        <f t="shared" ca="1" si="18"/>
        <v>46324.534849537034</v>
      </c>
      <c r="N138">
        <f t="shared" si="19"/>
        <v>140</v>
      </c>
    </row>
    <row r="139" spans="1:14" ht="15.75" customHeight="1" x14ac:dyDescent="0.25">
      <c r="A139" s="2" t="s">
        <v>58</v>
      </c>
      <c r="B139" s="2" t="s">
        <v>38</v>
      </c>
      <c r="C139" s="2" t="s">
        <v>34</v>
      </c>
      <c r="D139" s="2" t="s">
        <v>21</v>
      </c>
      <c r="E139">
        <v>511.74</v>
      </c>
      <c r="F139" s="2">
        <v>8</v>
      </c>
      <c r="G139" s="6">
        <v>0.05</v>
      </c>
      <c r="H139" s="4">
        <v>45631</v>
      </c>
      <c r="I139" s="7">
        <v>121.54</v>
      </c>
      <c r="J139" s="7">
        <f>I139+E139*(G139-'What-If Analysis'!$B$4)</f>
        <v>95.953000000000003</v>
      </c>
      <c r="K139">
        <f t="shared" si="16"/>
        <v>12</v>
      </c>
      <c r="L139" t="str">
        <f t="shared" si="17"/>
        <v>2024-12</v>
      </c>
      <c r="M139" s="5">
        <f t="shared" ca="1" si="18"/>
        <v>46324.534849537034</v>
      </c>
      <c r="N139">
        <f t="shared" si="19"/>
        <v>188</v>
      </c>
    </row>
    <row r="140" spans="1:14" ht="15.75" customHeight="1" x14ac:dyDescent="0.25">
      <c r="A140" s="2" t="s">
        <v>65</v>
      </c>
      <c r="B140" s="2" t="s">
        <v>61</v>
      </c>
      <c r="C140" s="2" t="s">
        <v>20</v>
      </c>
      <c r="D140" s="2" t="s">
        <v>27</v>
      </c>
      <c r="E140">
        <v>806.03</v>
      </c>
      <c r="F140" s="2">
        <v>19</v>
      </c>
      <c r="G140" s="6">
        <v>0.05</v>
      </c>
      <c r="H140" s="4">
        <v>45638</v>
      </c>
      <c r="I140" s="7">
        <v>268</v>
      </c>
      <c r="J140" s="7">
        <f>I140+E140*(G140-'What-If Analysis'!$B$4)</f>
        <v>227.6985</v>
      </c>
      <c r="K140">
        <f t="shared" si="16"/>
        <v>12</v>
      </c>
      <c r="L140" t="str">
        <f t="shared" si="17"/>
        <v>2024-12</v>
      </c>
      <c r="M140" s="5">
        <f t="shared" ca="1" si="18"/>
        <v>46324.534849537034</v>
      </c>
      <c r="N140">
        <f t="shared" si="19"/>
        <v>142</v>
      </c>
    </row>
    <row r="141" spans="1:14" ht="15.75" customHeight="1" x14ac:dyDescent="0.25">
      <c r="A141" s="2" t="s">
        <v>28</v>
      </c>
      <c r="B141" s="2" t="s">
        <v>26</v>
      </c>
      <c r="C141" s="2" t="s">
        <v>34</v>
      </c>
      <c r="D141" s="2" t="s">
        <v>27</v>
      </c>
      <c r="E141">
        <v>1432.47</v>
      </c>
      <c r="F141" s="2">
        <v>16</v>
      </c>
      <c r="G141" s="6">
        <v>0.15</v>
      </c>
      <c r="H141" s="4">
        <v>45640</v>
      </c>
      <c r="I141" s="7">
        <v>426.16</v>
      </c>
      <c r="J141" s="7">
        <f>I141+E141*(G141-'What-If Analysis'!$B$4)</f>
        <v>497.7835</v>
      </c>
      <c r="K141">
        <f t="shared" si="16"/>
        <v>12</v>
      </c>
      <c r="L141" t="str">
        <f t="shared" si="17"/>
        <v>2024-12</v>
      </c>
      <c r="M141" s="5">
        <f t="shared" ca="1" si="18"/>
        <v>46324.534849537034</v>
      </c>
      <c r="N141">
        <f t="shared" si="19"/>
        <v>16</v>
      </c>
    </row>
    <row r="142" spans="1:14" ht="15.75" customHeight="1" x14ac:dyDescent="0.25">
      <c r="A142" s="2" t="s">
        <v>74</v>
      </c>
      <c r="B142" s="2" t="s">
        <v>29</v>
      </c>
      <c r="C142" s="2" t="s">
        <v>34</v>
      </c>
      <c r="D142" s="2" t="s">
        <v>21</v>
      </c>
      <c r="E142">
        <v>1488.58</v>
      </c>
      <c r="F142" s="2">
        <v>10</v>
      </c>
      <c r="G142" s="6">
        <v>0.15</v>
      </c>
      <c r="H142" s="4">
        <v>45640</v>
      </c>
      <c r="I142" s="7">
        <v>316.32</v>
      </c>
      <c r="J142" s="7">
        <f>I142+E142*(G142-'What-If Analysis'!$B$4)</f>
        <v>390.74899999999997</v>
      </c>
      <c r="K142">
        <f t="shared" si="16"/>
        <v>12</v>
      </c>
      <c r="L142" t="str">
        <f t="shared" si="17"/>
        <v>2024-12</v>
      </c>
      <c r="M142" s="5">
        <f t="shared" ca="1" si="18"/>
        <v>46324.534849537034</v>
      </c>
      <c r="N142">
        <f t="shared" si="19"/>
        <v>11</v>
      </c>
    </row>
    <row r="143" spans="1:14" ht="15.75" customHeight="1" x14ac:dyDescent="0.25">
      <c r="A143" s="2" t="s">
        <v>30</v>
      </c>
      <c r="B143" s="2" t="s">
        <v>66</v>
      </c>
      <c r="C143" s="2" t="s">
        <v>18</v>
      </c>
      <c r="D143" s="2" t="s">
        <v>12</v>
      </c>
      <c r="E143">
        <v>1231.26</v>
      </c>
      <c r="F143" s="2">
        <v>9</v>
      </c>
      <c r="G143" s="6">
        <v>0</v>
      </c>
      <c r="H143" s="4">
        <v>45646</v>
      </c>
      <c r="I143" s="7">
        <v>492.5</v>
      </c>
      <c r="J143" s="7">
        <f>I143+E143*(G143-'What-If Analysis'!$B$4)</f>
        <v>369.37400000000002</v>
      </c>
      <c r="K143">
        <f t="shared" si="16"/>
        <v>12</v>
      </c>
      <c r="L143" t="str">
        <f t="shared" si="17"/>
        <v>2024-12</v>
      </c>
      <c r="M143" s="5">
        <f t="shared" ca="1" si="18"/>
        <v>46324.534849537034</v>
      </c>
      <c r="N143">
        <f t="shared" si="19"/>
        <v>37</v>
      </c>
    </row>
    <row r="144" spans="1:14" ht="15.75" customHeight="1" x14ac:dyDescent="0.25">
      <c r="A144" s="2" t="s">
        <v>30</v>
      </c>
      <c r="B144" s="2" t="s">
        <v>43</v>
      </c>
      <c r="C144" s="2" t="s">
        <v>11</v>
      </c>
      <c r="D144" s="2" t="s">
        <v>21</v>
      </c>
      <c r="E144">
        <v>1161.67</v>
      </c>
      <c r="F144" s="2">
        <v>19</v>
      </c>
      <c r="G144" s="6">
        <v>0.2</v>
      </c>
      <c r="H144" s="4">
        <v>45647</v>
      </c>
      <c r="I144" s="7">
        <v>232.33</v>
      </c>
      <c r="J144" s="7">
        <f>I144+E144*(G144-'What-If Analysis'!$B$4)</f>
        <v>348.49700000000001</v>
      </c>
      <c r="K144">
        <f t="shared" si="16"/>
        <v>12</v>
      </c>
      <c r="L144" t="str">
        <f t="shared" si="17"/>
        <v>2024-12</v>
      </c>
      <c r="M144" s="5">
        <f t="shared" ca="1" si="18"/>
        <v>46324.534849537034</v>
      </c>
      <c r="N144">
        <f t="shared" si="19"/>
        <v>55</v>
      </c>
    </row>
    <row r="145" spans="1:14" ht="15.75" customHeight="1" x14ac:dyDescent="0.25">
      <c r="A145" s="2" t="s">
        <v>49</v>
      </c>
      <c r="B145" s="2" t="s">
        <v>45</v>
      </c>
      <c r="C145" s="2" t="s">
        <v>34</v>
      </c>
      <c r="D145" s="2" t="s">
        <v>39</v>
      </c>
      <c r="E145">
        <v>388.23</v>
      </c>
      <c r="F145" s="2">
        <v>16</v>
      </c>
      <c r="G145" s="6">
        <v>0.05</v>
      </c>
      <c r="H145" s="4">
        <v>45650</v>
      </c>
      <c r="I145" s="7">
        <v>165.97</v>
      </c>
      <c r="J145" s="7">
        <f>I145+E145*(G145-'What-If Analysis'!$B$4)</f>
        <v>146.55849999999998</v>
      </c>
      <c r="K145">
        <f t="shared" si="16"/>
        <v>12</v>
      </c>
      <c r="L145" t="str">
        <f t="shared" si="17"/>
        <v>2024-12</v>
      </c>
      <c r="M145" s="5">
        <f t="shared" ca="1" si="18"/>
        <v>46324.534849537034</v>
      </c>
      <c r="N145">
        <f t="shared" si="19"/>
        <v>196</v>
      </c>
    </row>
    <row r="146" spans="1:14" ht="15.75" customHeight="1" x14ac:dyDescent="0.25">
      <c r="A146" s="2" t="s">
        <v>72</v>
      </c>
      <c r="B146" s="2" t="s">
        <v>31</v>
      </c>
      <c r="C146" s="2" t="s">
        <v>24</v>
      </c>
      <c r="D146" s="2" t="s">
        <v>15</v>
      </c>
      <c r="E146">
        <v>1589.42</v>
      </c>
      <c r="F146" s="2">
        <v>6</v>
      </c>
      <c r="G146" s="6">
        <v>0.15</v>
      </c>
      <c r="H146" s="4">
        <v>45651</v>
      </c>
      <c r="I146" s="7">
        <v>675.5</v>
      </c>
      <c r="J146" s="7">
        <f>I146+E146*(G146-'What-If Analysis'!$B$4)</f>
        <v>754.971</v>
      </c>
      <c r="K146">
        <f t="shared" si="16"/>
        <v>12</v>
      </c>
      <c r="L146" t="str">
        <f t="shared" si="17"/>
        <v>2024-12</v>
      </c>
      <c r="M146" s="5">
        <f t="shared" ca="1" si="18"/>
        <v>46324.534849537034</v>
      </c>
      <c r="N146">
        <f t="shared" si="19"/>
        <v>5</v>
      </c>
    </row>
    <row r="147" spans="1:14" ht="15.75" customHeight="1" x14ac:dyDescent="0.25">
      <c r="A147" s="2" t="s">
        <v>28</v>
      </c>
      <c r="B147" s="2" t="s">
        <v>71</v>
      </c>
      <c r="C147" s="2" t="s">
        <v>24</v>
      </c>
      <c r="D147" s="2" t="s">
        <v>15</v>
      </c>
      <c r="E147">
        <v>336.66</v>
      </c>
      <c r="F147" s="2">
        <v>13</v>
      </c>
      <c r="G147" s="6">
        <v>0.2</v>
      </c>
      <c r="H147" s="4">
        <v>45651</v>
      </c>
      <c r="I147" s="7">
        <v>134.66</v>
      </c>
      <c r="J147" s="7">
        <f>I147+E147*(G147-'What-If Analysis'!$B$4)</f>
        <v>168.32599999999999</v>
      </c>
      <c r="K147">
        <f t="shared" si="16"/>
        <v>12</v>
      </c>
      <c r="L147" t="str">
        <f t="shared" si="17"/>
        <v>2024-12</v>
      </c>
      <c r="M147" s="5">
        <f t="shared" ca="1" si="18"/>
        <v>46324.534849537034</v>
      </c>
      <c r="N147">
        <f t="shared" si="19"/>
        <v>198</v>
      </c>
    </row>
    <row r="148" spans="1:14" ht="15.75" customHeight="1" x14ac:dyDescent="0.25">
      <c r="A148" s="2" t="s">
        <v>49</v>
      </c>
      <c r="B148" s="2" t="s">
        <v>23</v>
      </c>
      <c r="C148" s="2" t="s">
        <v>11</v>
      </c>
      <c r="D148" s="2" t="s">
        <v>12</v>
      </c>
      <c r="E148">
        <v>1353.79</v>
      </c>
      <c r="F148" s="2">
        <v>14</v>
      </c>
      <c r="G148" s="6">
        <v>0.1</v>
      </c>
      <c r="H148" s="4">
        <v>45656</v>
      </c>
      <c r="I148" s="7">
        <v>487.36</v>
      </c>
      <c r="J148" s="7">
        <f>I148+E148*(G148-'What-If Analysis'!$B$4)</f>
        <v>487.36</v>
      </c>
      <c r="K148">
        <f t="shared" si="16"/>
        <v>12</v>
      </c>
      <c r="L148" t="str">
        <f t="shared" si="17"/>
        <v>2024-12</v>
      </c>
      <c r="M148" s="5">
        <f t="shared" ca="1" si="18"/>
        <v>46324.534849537034</v>
      </c>
      <c r="N148">
        <f t="shared" si="19"/>
        <v>22</v>
      </c>
    </row>
    <row r="149" spans="1:14" ht="15.75" customHeight="1" x14ac:dyDescent="0.25">
      <c r="A149" s="2" t="s">
        <v>63</v>
      </c>
      <c r="B149" s="2" t="s">
        <v>69</v>
      </c>
      <c r="C149" s="2" t="s">
        <v>34</v>
      </c>
      <c r="D149" s="2" t="s">
        <v>15</v>
      </c>
      <c r="E149">
        <v>662.61</v>
      </c>
      <c r="F149" s="2">
        <v>11</v>
      </c>
      <c r="G149" s="6">
        <v>0.05</v>
      </c>
      <c r="H149" s="4">
        <v>45658</v>
      </c>
      <c r="I149" s="7">
        <v>314.74</v>
      </c>
      <c r="J149" s="7">
        <f>I149+E149*(G149-'What-If Analysis'!$B$4)</f>
        <v>281.60950000000003</v>
      </c>
      <c r="K149">
        <f t="shared" si="16"/>
        <v>1</v>
      </c>
      <c r="L149" t="str">
        <f t="shared" si="17"/>
        <v>2025-01</v>
      </c>
      <c r="M149" s="5">
        <f t="shared" ca="1" si="18"/>
        <v>46324.534849537034</v>
      </c>
      <c r="N149">
        <f t="shared" si="19"/>
        <v>173</v>
      </c>
    </row>
    <row r="150" spans="1:14" ht="15.75" customHeight="1" x14ac:dyDescent="0.25">
      <c r="A150" s="2" t="s">
        <v>52</v>
      </c>
      <c r="B150" s="2" t="s">
        <v>48</v>
      </c>
      <c r="C150" s="2" t="s">
        <v>24</v>
      </c>
      <c r="D150" s="2" t="s">
        <v>39</v>
      </c>
      <c r="E150">
        <v>309.42</v>
      </c>
      <c r="F150" s="2">
        <v>1</v>
      </c>
      <c r="G150" s="6">
        <v>0.2</v>
      </c>
      <c r="H150" s="4">
        <v>45658</v>
      </c>
      <c r="I150" s="7">
        <v>111.39</v>
      </c>
      <c r="J150" s="7">
        <f>I150+E150*(G150-'What-If Analysis'!$B$4)</f>
        <v>142.33199999999999</v>
      </c>
      <c r="K150">
        <f t="shared" si="16"/>
        <v>1</v>
      </c>
      <c r="L150" t="str">
        <f t="shared" si="17"/>
        <v>2025-01</v>
      </c>
      <c r="M150" s="5">
        <f t="shared" ca="1" si="18"/>
        <v>46324.534849537034</v>
      </c>
      <c r="N150">
        <f t="shared" si="19"/>
        <v>199</v>
      </c>
    </row>
    <row r="151" spans="1:14" ht="15.75" customHeight="1" x14ac:dyDescent="0.25">
      <c r="A151" s="2" t="s">
        <v>63</v>
      </c>
      <c r="B151" s="2" t="s">
        <v>29</v>
      </c>
      <c r="C151" s="2" t="s">
        <v>24</v>
      </c>
      <c r="D151" s="2" t="s">
        <v>12</v>
      </c>
      <c r="E151">
        <v>884.63</v>
      </c>
      <c r="F151" s="2">
        <v>18</v>
      </c>
      <c r="G151" s="6">
        <v>0.1</v>
      </c>
      <c r="H151" s="4">
        <v>45659</v>
      </c>
      <c r="I151" s="7">
        <v>318.47000000000003</v>
      </c>
      <c r="J151" s="7">
        <f>I151+E151*(G151-'What-If Analysis'!$B$4)</f>
        <v>318.47000000000003</v>
      </c>
      <c r="K151">
        <f t="shared" si="16"/>
        <v>1</v>
      </c>
      <c r="L151" t="str">
        <f t="shared" si="17"/>
        <v>2025-01</v>
      </c>
      <c r="M151" s="5">
        <f t="shared" ca="1" si="18"/>
        <v>46324.534849537034</v>
      </c>
      <c r="N151">
        <f t="shared" si="19"/>
        <v>120</v>
      </c>
    </row>
    <row r="152" spans="1:14" ht="15.75" customHeight="1" x14ac:dyDescent="0.25">
      <c r="A152" s="2" t="s">
        <v>52</v>
      </c>
      <c r="B152" s="2" t="s">
        <v>23</v>
      </c>
      <c r="C152" s="2" t="s">
        <v>34</v>
      </c>
      <c r="D152" s="2" t="s">
        <v>39</v>
      </c>
      <c r="E152">
        <v>745.05</v>
      </c>
      <c r="F152" s="2">
        <v>10</v>
      </c>
      <c r="G152" s="6">
        <v>0.1</v>
      </c>
      <c r="H152" s="4">
        <v>45660</v>
      </c>
      <c r="I152" s="7">
        <v>301.75</v>
      </c>
      <c r="J152" s="7">
        <f>I152+E152*(G152-'What-If Analysis'!$B$4)</f>
        <v>301.75</v>
      </c>
      <c r="K152">
        <f t="shared" si="16"/>
        <v>1</v>
      </c>
      <c r="L152" t="str">
        <f t="shared" si="17"/>
        <v>2025-01</v>
      </c>
      <c r="M152" s="5">
        <f t="shared" ca="1" si="18"/>
        <v>46324.534849537034</v>
      </c>
      <c r="N152">
        <f t="shared" si="19"/>
        <v>153</v>
      </c>
    </row>
    <row r="153" spans="1:14" ht="15.75" customHeight="1" x14ac:dyDescent="0.25">
      <c r="A153" s="2" t="s">
        <v>60</v>
      </c>
      <c r="B153" s="2" t="s">
        <v>17</v>
      </c>
      <c r="C153" s="2" t="s">
        <v>20</v>
      </c>
      <c r="D153" s="2" t="s">
        <v>15</v>
      </c>
      <c r="E153">
        <v>870.23</v>
      </c>
      <c r="F153" s="2">
        <v>5</v>
      </c>
      <c r="G153" s="6">
        <v>0.05</v>
      </c>
      <c r="H153" s="4">
        <v>45660</v>
      </c>
      <c r="I153" s="7">
        <v>413.36</v>
      </c>
      <c r="J153" s="7">
        <f>I153+E153*(G153-'What-If Analysis'!$B$4)</f>
        <v>369.8485</v>
      </c>
      <c r="K153">
        <f t="shared" si="16"/>
        <v>1</v>
      </c>
      <c r="L153" t="str">
        <f t="shared" si="17"/>
        <v>2025-01</v>
      </c>
      <c r="M153" s="5">
        <f t="shared" ca="1" si="18"/>
        <v>46324.534849537034</v>
      </c>
      <c r="N153">
        <f t="shared" si="19"/>
        <v>125</v>
      </c>
    </row>
    <row r="154" spans="1:14" ht="15.75" customHeight="1" x14ac:dyDescent="0.25">
      <c r="A154" s="2" t="s">
        <v>35</v>
      </c>
      <c r="B154" s="2" t="s">
        <v>29</v>
      </c>
      <c r="C154" s="2" t="s">
        <v>11</v>
      </c>
      <c r="D154" s="2" t="s">
        <v>27</v>
      </c>
      <c r="E154">
        <v>862.19</v>
      </c>
      <c r="F154" s="2">
        <v>18</v>
      </c>
      <c r="G154" s="6">
        <v>0.05</v>
      </c>
      <c r="H154" s="4">
        <v>45663</v>
      </c>
      <c r="I154" s="7">
        <v>286.68</v>
      </c>
      <c r="J154" s="7">
        <f>I154+E154*(G154-'What-If Analysis'!$B$4)</f>
        <v>243.57050000000001</v>
      </c>
      <c r="K154">
        <f t="shared" si="16"/>
        <v>1</v>
      </c>
      <c r="L154" t="str">
        <f t="shared" si="17"/>
        <v>2025-01</v>
      </c>
      <c r="M154" s="5">
        <f t="shared" ca="1" si="18"/>
        <v>46324.534849537034</v>
      </c>
      <c r="N154">
        <f t="shared" si="19"/>
        <v>127</v>
      </c>
    </row>
    <row r="155" spans="1:14" ht="15.75" customHeight="1" x14ac:dyDescent="0.25">
      <c r="A155" s="2" t="s">
        <v>73</v>
      </c>
      <c r="B155" s="2" t="s">
        <v>59</v>
      </c>
      <c r="C155" s="2" t="s">
        <v>24</v>
      </c>
      <c r="D155" s="2" t="s">
        <v>15</v>
      </c>
      <c r="E155">
        <v>1171.18</v>
      </c>
      <c r="F155" s="2">
        <v>19</v>
      </c>
      <c r="G155" s="6">
        <v>0.05</v>
      </c>
      <c r="H155" s="4">
        <v>45667</v>
      </c>
      <c r="I155" s="7">
        <v>556.30999999999995</v>
      </c>
      <c r="J155" s="7">
        <f>I155+E155*(G155-'What-If Analysis'!$B$4)</f>
        <v>497.75099999999992</v>
      </c>
      <c r="K155">
        <f t="shared" si="16"/>
        <v>1</v>
      </c>
      <c r="L155" t="str">
        <f t="shared" si="17"/>
        <v>2025-01</v>
      </c>
      <c r="M155" s="5">
        <f t="shared" ca="1" si="18"/>
        <v>46324.534849537034</v>
      </c>
      <c r="N155">
        <f t="shared" si="19"/>
        <v>52</v>
      </c>
    </row>
    <row r="156" spans="1:14" ht="15.75" customHeight="1" x14ac:dyDescent="0.25">
      <c r="A156" s="2" t="s">
        <v>58</v>
      </c>
      <c r="B156" s="2" t="s">
        <v>14</v>
      </c>
      <c r="C156" s="2" t="s">
        <v>20</v>
      </c>
      <c r="D156" s="2" t="s">
        <v>27</v>
      </c>
      <c r="E156">
        <v>1054.56</v>
      </c>
      <c r="F156" s="2">
        <v>11</v>
      </c>
      <c r="G156" s="6">
        <v>0.1</v>
      </c>
      <c r="H156" s="4">
        <v>45669</v>
      </c>
      <c r="I156" s="7">
        <v>332.19</v>
      </c>
      <c r="J156" s="7">
        <f>I156+E156*(G156-'What-If Analysis'!$B$4)</f>
        <v>332.19</v>
      </c>
      <c r="K156">
        <f t="shared" si="16"/>
        <v>1</v>
      </c>
      <c r="L156" t="str">
        <f t="shared" si="17"/>
        <v>2025-01</v>
      </c>
      <c r="M156" s="5">
        <f t="shared" ca="1" si="18"/>
        <v>46324.534849537034</v>
      </c>
      <c r="N156">
        <f t="shared" si="19"/>
        <v>79</v>
      </c>
    </row>
    <row r="157" spans="1:14" ht="15.75" customHeight="1" x14ac:dyDescent="0.25">
      <c r="A157" s="2" t="s">
        <v>58</v>
      </c>
      <c r="B157" s="2" t="s">
        <v>23</v>
      </c>
      <c r="C157" s="2" t="s">
        <v>24</v>
      </c>
      <c r="D157" s="2" t="s">
        <v>21</v>
      </c>
      <c r="E157">
        <v>1681.21</v>
      </c>
      <c r="F157" s="2">
        <v>5</v>
      </c>
      <c r="G157" s="6">
        <v>0.2</v>
      </c>
      <c r="H157" s="4">
        <v>45670</v>
      </c>
      <c r="I157" s="7">
        <v>336.24</v>
      </c>
      <c r="J157" s="7">
        <f>I157+E157*(G157-'What-If Analysis'!$B$4)</f>
        <v>504.36099999999999</v>
      </c>
      <c r="K157">
        <f t="shared" si="16"/>
        <v>1</v>
      </c>
      <c r="L157" t="str">
        <f t="shared" si="17"/>
        <v>2025-01</v>
      </c>
      <c r="M157" s="5">
        <f t="shared" ca="1" si="18"/>
        <v>46324.534849537034</v>
      </c>
      <c r="N157">
        <f t="shared" si="19"/>
        <v>2</v>
      </c>
    </row>
    <row r="158" spans="1:14" ht="15.75" customHeight="1" x14ac:dyDescent="0.25">
      <c r="A158" s="2" t="s">
        <v>58</v>
      </c>
      <c r="B158" s="2" t="s">
        <v>36</v>
      </c>
      <c r="C158" s="2" t="s">
        <v>11</v>
      </c>
      <c r="D158" s="2" t="s">
        <v>15</v>
      </c>
      <c r="E158">
        <v>379.77</v>
      </c>
      <c r="F158" s="2">
        <v>9</v>
      </c>
      <c r="G158" s="6">
        <v>0.05</v>
      </c>
      <c r="H158" s="4">
        <v>45673</v>
      </c>
      <c r="I158" s="7">
        <v>180.39</v>
      </c>
      <c r="J158" s="7">
        <f>I158+E158*(G158-'What-If Analysis'!$B$4)</f>
        <v>161.4015</v>
      </c>
      <c r="K158">
        <f t="shared" si="16"/>
        <v>1</v>
      </c>
      <c r="L158" t="str">
        <f t="shared" si="17"/>
        <v>2025-01</v>
      </c>
      <c r="M158" s="5">
        <f t="shared" ca="1" si="18"/>
        <v>46324.534849537034</v>
      </c>
      <c r="N158">
        <f t="shared" si="19"/>
        <v>197</v>
      </c>
    </row>
    <row r="159" spans="1:14" ht="15.75" customHeight="1" x14ac:dyDescent="0.25">
      <c r="A159" s="2" t="s">
        <v>44</v>
      </c>
      <c r="B159" s="2" t="s">
        <v>45</v>
      </c>
      <c r="C159" s="2" t="s">
        <v>34</v>
      </c>
      <c r="D159" s="2" t="s">
        <v>15</v>
      </c>
      <c r="E159">
        <v>1076.33</v>
      </c>
      <c r="F159" s="2">
        <v>2</v>
      </c>
      <c r="G159" s="6">
        <v>0.1</v>
      </c>
      <c r="H159" s="4">
        <v>45674</v>
      </c>
      <c r="I159" s="7">
        <v>484.35</v>
      </c>
      <c r="J159" s="7">
        <f>I159+E159*(G159-'What-If Analysis'!$B$4)</f>
        <v>484.35</v>
      </c>
      <c r="K159">
        <f t="shared" si="16"/>
        <v>1</v>
      </c>
      <c r="L159" t="str">
        <f t="shared" si="17"/>
        <v>2025-01</v>
      </c>
      <c r="M159" s="5">
        <f t="shared" ca="1" si="18"/>
        <v>46324.534849537034</v>
      </c>
      <c r="N159">
        <f t="shared" si="19"/>
        <v>74</v>
      </c>
    </row>
    <row r="160" spans="1:14" ht="15.75" customHeight="1" x14ac:dyDescent="0.25">
      <c r="A160" s="2" t="s">
        <v>44</v>
      </c>
      <c r="B160" s="2" t="s">
        <v>31</v>
      </c>
      <c r="C160" s="2" t="s">
        <v>34</v>
      </c>
      <c r="D160" s="2" t="s">
        <v>39</v>
      </c>
      <c r="E160">
        <v>1250.71</v>
      </c>
      <c r="F160" s="2">
        <v>7</v>
      </c>
      <c r="G160" s="6">
        <v>0</v>
      </c>
      <c r="H160" s="4">
        <v>45674</v>
      </c>
      <c r="I160" s="7">
        <v>562.82000000000005</v>
      </c>
      <c r="J160" s="7">
        <f>I160+E160*(G160-'What-If Analysis'!$B$4)</f>
        <v>437.74900000000002</v>
      </c>
      <c r="K160">
        <f t="shared" si="16"/>
        <v>1</v>
      </c>
      <c r="L160" t="str">
        <f t="shared" si="17"/>
        <v>2025-01</v>
      </c>
      <c r="M160" s="5">
        <f t="shared" ca="1" si="18"/>
        <v>46324.534849537034</v>
      </c>
      <c r="N160">
        <f t="shared" si="19"/>
        <v>34</v>
      </c>
    </row>
    <row r="161" spans="1:14" ht="15.75" customHeight="1" x14ac:dyDescent="0.25">
      <c r="A161" s="2" t="s">
        <v>40</v>
      </c>
      <c r="B161" s="2" t="s">
        <v>17</v>
      </c>
      <c r="C161" s="2" t="s">
        <v>20</v>
      </c>
      <c r="D161" s="2" t="s">
        <v>15</v>
      </c>
      <c r="E161">
        <v>1118.3399999999999</v>
      </c>
      <c r="F161" s="2">
        <v>6</v>
      </c>
      <c r="G161" s="6">
        <v>0.2</v>
      </c>
      <c r="H161" s="4">
        <v>45674</v>
      </c>
      <c r="I161" s="7">
        <v>447.34</v>
      </c>
      <c r="J161" s="7">
        <f>I161+E161*(G161-'What-If Analysis'!$B$4)</f>
        <v>559.17399999999998</v>
      </c>
      <c r="K161">
        <f t="shared" si="16"/>
        <v>1</v>
      </c>
      <c r="L161" t="str">
        <f t="shared" si="17"/>
        <v>2025-01</v>
      </c>
      <c r="M161" s="5">
        <f t="shared" ca="1" si="18"/>
        <v>46324.534849537034</v>
      </c>
      <c r="N161">
        <f t="shared" si="19"/>
        <v>61</v>
      </c>
    </row>
    <row r="162" spans="1:14" ht="15.75" customHeight="1" x14ac:dyDescent="0.25">
      <c r="A162" s="2" t="s">
        <v>70</v>
      </c>
      <c r="B162" s="2" t="s">
        <v>53</v>
      </c>
      <c r="C162" s="2" t="s">
        <v>24</v>
      </c>
      <c r="D162" s="2" t="s">
        <v>15</v>
      </c>
      <c r="E162">
        <v>1622.62</v>
      </c>
      <c r="F162" s="2">
        <v>12</v>
      </c>
      <c r="G162" s="6">
        <v>0.2</v>
      </c>
      <c r="H162" s="4">
        <v>45677</v>
      </c>
      <c r="I162" s="7">
        <v>649.04999999999995</v>
      </c>
      <c r="J162" s="7">
        <f>I162+E162*(G162-'What-If Analysis'!$B$4)</f>
        <v>811.3119999999999</v>
      </c>
      <c r="K162">
        <f t="shared" ref="K162:K193" si="20">MONTH(H162)</f>
        <v>1</v>
      </c>
      <c r="L162" t="str">
        <f t="shared" ref="L162:L193" si="21">TEXT(H162,"yyyy-mm")</f>
        <v>2025-01</v>
      </c>
      <c r="M162" s="5">
        <f t="shared" ref="M162:M193" ca="1" si="22">NOW()</f>
        <v>46324.534849537034</v>
      </c>
      <c r="N162">
        <f t="shared" ref="N162:N193" si="23">_xlfn.RANK.EQ(E162,$E$2:$E$201,0)</f>
        <v>3</v>
      </c>
    </row>
    <row r="163" spans="1:14" ht="15.75" customHeight="1" x14ac:dyDescent="0.25">
      <c r="A163" s="2" t="s">
        <v>75</v>
      </c>
      <c r="B163" s="2" t="s">
        <v>48</v>
      </c>
      <c r="C163" s="2" t="s">
        <v>24</v>
      </c>
      <c r="D163" s="2" t="s">
        <v>12</v>
      </c>
      <c r="E163">
        <v>640.64</v>
      </c>
      <c r="F163" s="2">
        <v>11</v>
      </c>
      <c r="G163" s="6">
        <v>0.2</v>
      </c>
      <c r="H163" s="4">
        <v>45678</v>
      </c>
      <c r="I163" s="7">
        <v>205</v>
      </c>
      <c r="J163" s="7">
        <f>I163+E163*(G163-'What-If Analysis'!$B$4)</f>
        <v>269.06400000000002</v>
      </c>
      <c r="K163">
        <f t="shared" si="20"/>
        <v>1</v>
      </c>
      <c r="L163" t="str">
        <f t="shared" si="21"/>
        <v>2025-01</v>
      </c>
      <c r="M163" s="5">
        <f t="shared" ca="1" si="22"/>
        <v>46324.534849537034</v>
      </c>
      <c r="N163">
        <f t="shared" si="23"/>
        <v>176</v>
      </c>
    </row>
    <row r="164" spans="1:14" ht="15.75" customHeight="1" x14ac:dyDescent="0.25">
      <c r="A164" s="2" t="s">
        <v>22</v>
      </c>
      <c r="B164" s="2" t="s">
        <v>43</v>
      </c>
      <c r="C164" s="2" t="s">
        <v>11</v>
      </c>
      <c r="D164" s="2" t="s">
        <v>15</v>
      </c>
      <c r="E164">
        <v>585.16</v>
      </c>
      <c r="F164" s="2">
        <v>17</v>
      </c>
      <c r="G164" s="6">
        <v>0.1</v>
      </c>
      <c r="H164" s="4">
        <v>45684</v>
      </c>
      <c r="I164" s="7">
        <v>263.32</v>
      </c>
      <c r="J164" s="7">
        <f>I164+E164*(G164-'What-If Analysis'!$B$4)</f>
        <v>263.32</v>
      </c>
      <c r="K164">
        <f t="shared" si="20"/>
        <v>1</v>
      </c>
      <c r="L164" t="str">
        <f t="shared" si="21"/>
        <v>2025-01</v>
      </c>
      <c r="M164" s="5">
        <f t="shared" ca="1" si="22"/>
        <v>46324.534849537034</v>
      </c>
      <c r="N164">
        <f t="shared" si="23"/>
        <v>180</v>
      </c>
    </row>
    <row r="165" spans="1:14" ht="15.75" customHeight="1" x14ac:dyDescent="0.25">
      <c r="A165" s="2" t="s">
        <v>22</v>
      </c>
      <c r="B165" s="2" t="s">
        <v>31</v>
      </c>
      <c r="C165" s="2" t="s">
        <v>18</v>
      </c>
      <c r="D165" s="2" t="s">
        <v>15</v>
      </c>
      <c r="E165">
        <v>1109.98</v>
      </c>
      <c r="F165" s="2">
        <v>5</v>
      </c>
      <c r="G165" s="6">
        <v>0.2</v>
      </c>
      <c r="H165" s="4">
        <v>45690</v>
      </c>
      <c r="I165" s="7">
        <v>443.99</v>
      </c>
      <c r="J165" s="7">
        <f>I165+E165*(G165-'What-If Analysis'!$B$4)</f>
        <v>554.98800000000006</v>
      </c>
      <c r="K165">
        <f t="shared" si="20"/>
        <v>2</v>
      </c>
      <c r="L165" t="str">
        <f t="shared" si="21"/>
        <v>2025-02</v>
      </c>
      <c r="M165" s="5">
        <f t="shared" ca="1" si="22"/>
        <v>46324.534849537034</v>
      </c>
      <c r="N165">
        <f t="shared" si="23"/>
        <v>64</v>
      </c>
    </row>
    <row r="166" spans="1:14" ht="15.75" customHeight="1" x14ac:dyDescent="0.25">
      <c r="A166" s="2" t="s">
        <v>58</v>
      </c>
      <c r="B166" s="2" t="s">
        <v>45</v>
      </c>
      <c r="C166" s="2" t="s">
        <v>18</v>
      </c>
      <c r="D166" s="2" t="s">
        <v>12</v>
      </c>
      <c r="E166">
        <v>1098.08</v>
      </c>
      <c r="F166" s="2">
        <v>9</v>
      </c>
      <c r="G166" s="6">
        <v>0.1</v>
      </c>
      <c r="H166" s="4">
        <v>45692</v>
      </c>
      <c r="I166" s="7">
        <v>395.31</v>
      </c>
      <c r="J166" s="7">
        <f>I166+E166*(G166-'What-If Analysis'!$B$4)</f>
        <v>395.31</v>
      </c>
      <c r="K166">
        <f t="shared" si="20"/>
        <v>2</v>
      </c>
      <c r="L166" t="str">
        <f t="shared" si="21"/>
        <v>2025-02</v>
      </c>
      <c r="M166" s="5">
        <f t="shared" ca="1" si="22"/>
        <v>46324.534849537034</v>
      </c>
      <c r="N166">
        <f t="shared" si="23"/>
        <v>69</v>
      </c>
    </row>
    <row r="167" spans="1:14" ht="15.75" customHeight="1" x14ac:dyDescent="0.25">
      <c r="A167" s="2" t="s">
        <v>65</v>
      </c>
      <c r="B167" s="2" t="s">
        <v>48</v>
      </c>
      <c r="C167" s="2" t="s">
        <v>11</v>
      </c>
      <c r="D167" s="2" t="s">
        <v>39</v>
      </c>
      <c r="E167">
        <v>827.25</v>
      </c>
      <c r="F167" s="2">
        <v>7</v>
      </c>
      <c r="G167" s="6">
        <v>0.1</v>
      </c>
      <c r="H167" s="4">
        <v>45693</v>
      </c>
      <c r="I167" s="7">
        <v>335.04</v>
      </c>
      <c r="J167" s="7">
        <f>I167+E167*(G167-'What-If Analysis'!$B$4)</f>
        <v>335.04</v>
      </c>
      <c r="K167">
        <f t="shared" si="20"/>
        <v>2</v>
      </c>
      <c r="L167" t="str">
        <f t="shared" si="21"/>
        <v>2025-02</v>
      </c>
      <c r="M167" s="5">
        <f t="shared" ca="1" si="22"/>
        <v>46324.534849537034</v>
      </c>
      <c r="N167">
        <f t="shared" si="23"/>
        <v>136</v>
      </c>
    </row>
    <row r="168" spans="1:14" ht="15.75" customHeight="1" x14ac:dyDescent="0.25">
      <c r="A168" s="2" t="s">
        <v>70</v>
      </c>
      <c r="B168" s="2" t="s">
        <v>29</v>
      </c>
      <c r="C168" s="2" t="s">
        <v>34</v>
      </c>
      <c r="D168" s="2" t="s">
        <v>15</v>
      </c>
      <c r="E168">
        <v>741.88</v>
      </c>
      <c r="F168" s="2">
        <v>16</v>
      </c>
      <c r="G168" s="6">
        <v>0.1</v>
      </c>
      <c r="H168" s="4">
        <v>45695</v>
      </c>
      <c r="I168" s="7">
        <v>333.85</v>
      </c>
      <c r="J168" s="7">
        <f>I168+E168*(G168-'What-If Analysis'!$B$4)</f>
        <v>333.85</v>
      </c>
      <c r="K168">
        <f t="shared" si="20"/>
        <v>2</v>
      </c>
      <c r="L168" t="str">
        <f t="shared" si="21"/>
        <v>2025-02</v>
      </c>
      <c r="M168" s="5">
        <f t="shared" ca="1" si="22"/>
        <v>46324.534849537034</v>
      </c>
      <c r="N168">
        <f t="shared" si="23"/>
        <v>155</v>
      </c>
    </row>
    <row r="169" spans="1:14" ht="15.75" customHeight="1" x14ac:dyDescent="0.25">
      <c r="A169" s="2" t="s">
        <v>72</v>
      </c>
      <c r="B169" s="2" t="s">
        <v>10</v>
      </c>
      <c r="C169" s="2" t="s">
        <v>18</v>
      </c>
      <c r="D169" s="2" t="s">
        <v>39</v>
      </c>
      <c r="E169">
        <v>1311.26</v>
      </c>
      <c r="F169" s="2">
        <v>6</v>
      </c>
      <c r="G169" s="6">
        <v>0.1</v>
      </c>
      <c r="H169" s="4">
        <v>45698</v>
      </c>
      <c r="I169" s="7">
        <v>531.05999999999995</v>
      </c>
      <c r="J169" s="7">
        <f>I169+E169*(G169-'What-If Analysis'!$B$4)</f>
        <v>531.05999999999995</v>
      </c>
      <c r="K169">
        <f t="shared" si="20"/>
        <v>2</v>
      </c>
      <c r="L169" t="str">
        <f t="shared" si="21"/>
        <v>2025-02</v>
      </c>
      <c r="M169" s="5">
        <f t="shared" ca="1" si="22"/>
        <v>46324.534849537034</v>
      </c>
      <c r="N169">
        <f t="shared" si="23"/>
        <v>27</v>
      </c>
    </row>
    <row r="170" spans="1:14" ht="15.75" customHeight="1" x14ac:dyDescent="0.25">
      <c r="A170" s="2" t="s">
        <v>72</v>
      </c>
      <c r="B170" s="2" t="s">
        <v>31</v>
      </c>
      <c r="C170" s="2" t="s">
        <v>20</v>
      </c>
      <c r="D170" s="2" t="s">
        <v>39</v>
      </c>
      <c r="E170">
        <v>573.32000000000005</v>
      </c>
      <c r="F170" s="2">
        <v>19</v>
      </c>
      <c r="G170" s="6">
        <v>0.1</v>
      </c>
      <c r="H170" s="4">
        <v>45703</v>
      </c>
      <c r="I170" s="7">
        <v>232.19</v>
      </c>
      <c r="J170" s="7">
        <f>I170+E170*(G170-'What-If Analysis'!$B$4)</f>
        <v>232.19</v>
      </c>
      <c r="K170">
        <f t="shared" si="20"/>
        <v>2</v>
      </c>
      <c r="L170" t="str">
        <f t="shared" si="21"/>
        <v>2025-02</v>
      </c>
      <c r="M170" s="5">
        <f t="shared" ca="1" si="22"/>
        <v>46324.534849537034</v>
      </c>
      <c r="N170">
        <f t="shared" si="23"/>
        <v>182</v>
      </c>
    </row>
    <row r="171" spans="1:14" ht="15.75" customHeight="1" x14ac:dyDescent="0.25">
      <c r="A171" s="2" t="s">
        <v>52</v>
      </c>
      <c r="B171" s="2" t="s">
        <v>23</v>
      </c>
      <c r="C171" s="2" t="s">
        <v>11</v>
      </c>
      <c r="D171" s="2" t="s">
        <v>21</v>
      </c>
      <c r="E171">
        <v>1115.22</v>
      </c>
      <c r="F171" s="2">
        <v>14</v>
      </c>
      <c r="G171" s="6">
        <v>0.2</v>
      </c>
      <c r="H171" s="4">
        <v>45705</v>
      </c>
      <c r="I171" s="7">
        <v>223.04</v>
      </c>
      <c r="J171" s="7">
        <f>I171+E171*(G171-'What-If Analysis'!$B$4)</f>
        <v>334.56200000000001</v>
      </c>
      <c r="K171">
        <f t="shared" si="20"/>
        <v>2</v>
      </c>
      <c r="L171" t="str">
        <f t="shared" si="21"/>
        <v>2025-02</v>
      </c>
      <c r="M171" s="5">
        <f t="shared" ca="1" si="22"/>
        <v>46324.534849537034</v>
      </c>
      <c r="N171">
        <f t="shared" si="23"/>
        <v>62</v>
      </c>
    </row>
    <row r="172" spans="1:14" ht="15.75" customHeight="1" x14ac:dyDescent="0.25">
      <c r="A172" s="2" t="s">
        <v>13</v>
      </c>
      <c r="B172" s="2" t="s">
        <v>45</v>
      </c>
      <c r="C172" s="2" t="s">
        <v>24</v>
      </c>
      <c r="D172" s="2" t="s">
        <v>15</v>
      </c>
      <c r="E172">
        <v>845.84</v>
      </c>
      <c r="F172" s="2">
        <v>4</v>
      </c>
      <c r="G172" s="6">
        <v>0</v>
      </c>
      <c r="H172" s="4">
        <v>45707</v>
      </c>
      <c r="I172" s="7">
        <v>422.92</v>
      </c>
      <c r="J172" s="7">
        <f>I172+E172*(G172-'What-If Analysis'!$B$4)</f>
        <v>338.33600000000001</v>
      </c>
      <c r="K172">
        <f t="shared" si="20"/>
        <v>2</v>
      </c>
      <c r="L172" t="str">
        <f t="shared" si="21"/>
        <v>2025-02</v>
      </c>
      <c r="M172" s="5">
        <f t="shared" ca="1" si="22"/>
        <v>46324.534849537034</v>
      </c>
      <c r="N172">
        <f t="shared" si="23"/>
        <v>132</v>
      </c>
    </row>
    <row r="173" spans="1:14" ht="15.75" customHeight="1" x14ac:dyDescent="0.25">
      <c r="A173" s="2" t="s">
        <v>30</v>
      </c>
      <c r="B173" s="2" t="s">
        <v>55</v>
      </c>
      <c r="C173" s="2" t="s">
        <v>11</v>
      </c>
      <c r="D173" s="2" t="s">
        <v>21</v>
      </c>
      <c r="E173">
        <v>1029.8</v>
      </c>
      <c r="F173" s="2">
        <v>3</v>
      </c>
      <c r="G173" s="6">
        <v>0</v>
      </c>
      <c r="H173" s="4">
        <v>45708</v>
      </c>
      <c r="I173" s="7">
        <v>257.45</v>
      </c>
      <c r="J173" s="7">
        <f>I173+E173*(G173-'What-If Analysis'!$B$4)</f>
        <v>154.46999999999997</v>
      </c>
      <c r="K173">
        <f t="shared" si="20"/>
        <v>2</v>
      </c>
      <c r="L173" t="str">
        <f t="shared" si="21"/>
        <v>2025-02</v>
      </c>
      <c r="M173" s="5">
        <f t="shared" ca="1" si="22"/>
        <v>46324.534849537034</v>
      </c>
      <c r="N173">
        <f t="shared" si="23"/>
        <v>82</v>
      </c>
    </row>
    <row r="174" spans="1:14" ht="15.75" customHeight="1" x14ac:dyDescent="0.25">
      <c r="A174" s="2" t="s">
        <v>32</v>
      </c>
      <c r="B174" s="2" t="s">
        <v>31</v>
      </c>
      <c r="C174" s="2" t="s">
        <v>24</v>
      </c>
      <c r="D174" s="2" t="s">
        <v>12</v>
      </c>
      <c r="E174">
        <v>1189.83</v>
      </c>
      <c r="F174" s="2">
        <v>2</v>
      </c>
      <c r="G174" s="6">
        <v>0.2</v>
      </c>
      <c r="H174" s="4">
        <v>45709</v>
      </c>
      <c r="I174" s="7">
        <v>380.75</v>
      </c>
      <c r="J174" s="7">
        <f>I174+E174*(G174-'What-If Analysis'!$B$4)</f>
        <v>499.733</v>
      </c>
      <c r="K174">
        <f t="shared" si="20"/>
        <v>2</v>
      </c>
      <c r="L174" t="str">
        <f t="shared" si="21"/>
        <v>2025-02</v>
      </c>
      <c r="M174" s="5">
        <f t="shared" ca="1" si="22"/>
        <v>46324.534849537034</v>
      </c>
      <c r="N174">
        <f t="shared" si="23"/>
        <v>47</v>
      </c>
    </row>
    <row r="175" spans="1:14" ht="15.75" customHeight="1" x14ac:dyDescent="0.25">
      <c r="A175" s="2" t="s">
        <v>67</v>
      </c>
      <c r="B175" s="2" t="s">
        <v>43</v>
      </c>
      <c r="C175" s="2" t="s">
        <v>20</v>
      </c>
      <c r="D175" s="2" t="s">
        <v>12</v>
      </c>
      <c r="E175">
        <v>704.28</v>
      </c>
      <c r="F175" s="2">
        <v>15</v>
      </c>
      <c r="G175" s="6">
        <v>0.2</v>
      </c>
      <c r="H175" s="4">
        <v>45712</v>
      </c>
      <c r="I175" s="7">
        <v>225.37</v>
      </c>
      <c r="J175" s="7">
        <f>I175+E175*(G175-'What-If Analysis'!$B$4)</f>
        <v>295.798</v>
      </c>
      <c r="K175">
        <f t="shared" si="20"/>
        <v>2</v>
      </c>
      <c r="L175" t="str">
        <f t="shared" si="21"/>
        <v>2025-02</v>
      </c>
      <c r="M175" s="5">
        <f t="shared" ca="1" si="22"/>
        <v>46324.534849537034</v>
      </c>
      <c r="N175">
        <f t="shared" si="23"/>
        <v>166</v>
      </c>
    </row>
    <row r="176" spans="1:14" ht="15.75" customHeight="1" x14ac:dyDescent="0.25">
      <c r="A176" s="2" t="s">
        <v>65</v>
      </c>
      <c r="B176" s="2" t="s">
        <v>47</v>
      </c>
      <c r="C176" s="2" t="s">
        <v>34</v>
      </c>
      <c r="D176" s="2" t="s">
        <v>39</v>
      </c>
      <c r="E176">
        <v>1618.22</v>
      </c>
      <c r="F176" s="2">
        <v>12</v>
      </c>
      <c r="G176" s="6">
        <v>0.2</v>
      </c>
      <c r="H176" s="4">
        <v>45712</v>
      </c>
      <c r="I176" s="7">
        <v>582.55999999999995</v>
      </c>
      <c r="J176" s="7">
        <f>I176+E176*(G176-'What-If Analysis'!$B$4)</f>
        <v>744.38199999999995</v>
      </c>
      <c r="K176">
        <f t="shared" si="20"/>
        <v>2</v>
      </c>
      <c r="L176" t="str">
        <f t="shared" si="21"/>
        <v>2025-02</v>
      </c>
      <c r="M176" s="5">
        <f t="shared" ca="1" si="22"/>
        <v>46324.534849537034</v>
      </c>
      <c r="N176">
        <f t="shared" si="23"/>
        <v>4</v>
      </c>
    </row>
    <row r="177" spans="1:14" ht="15.75" customHeight="1" x14ac:dyDescent="0.25">
      <c r="A177" s="2" t="s">
        <v>73</v>
      </c>
      <c r="B177" s="2" t="s">
        <v>53</v>
      </c>
      <c r="C177" s="2" t="s">
        <v>34</v>
      </c>
      <c r="D177" s="2" t="s">
        <v>12</v>
      </c>
      <c r="E177">
        <v>1014.43</v>
      </c>
      <c r="F177" s="2">
        <v>2</v>
      </c>
      <c r="G177" s="6">
        <v>0.15</v>
      </c>
      <c r="H177" s="4">
        <v>45713</v>
      </c>
      <c r="I177" s="7">
        <v>344.91</v>
      </c>
      <c r="J177" s="7">
        <f>I177+E177*(G177-'What-If Analysis'!$B$4)</f>
        <v>395.63150000000002</v>
      </c>
      <c r="K177">
        <f t="shared" si="20"/>
        <v>2</v>
      </c>
      <c r="L177" t="str">
        <f t="shared" si="21"/>
        <v>2025-02</v>
      </c>
      <c r="M177" s="5">
        <f t="shared" ca="1" si="22"/>
        <v>46324.534849537034</v>
      </c>
      <c r="N177">
        <f t="shared" si="23"/>
        <v>89</v>
      </c>
    </row>
    <row r="178" spans="1:14" ht="15.75" customHeight="1" x14ac:dyDescent="0.25">
      <c r="A178" s="2" t="s">
        <v>75</v>
      </c>
      <c r="B178" s="2" t="s">
        <v>31</v>
      </c>
      <c r="C178" s="2" t="s">
        <v>34</v>
      </c>
      <c r="D178" s="2" t="s">
        <v>15</v>
      </c>
      <c r="E178">
        <v>826.97</v>
      </c>
      <c r="F178" s="2">
        <v>18</v>
      </c>
      <c r="G178" s="6">
        <v>0.2</v>
      </c>
      <c r="H178" s="4">
        <v>45715</v>
      </c>
      <c r="I178" s="7">
        <v>330.79</v>
      </c>
      <c r="J178" s="7">
        <f>I178+E178*(G178-'What-If Analysis'!$B$4)</f>
        <v>413.48700000000002</v>
      </c>
      <c r="K178">
        <f t="shared" si="20"/>
        <v>2</v>
      </c>
      <c r="L178" t="str">
        <f t="shared" si="21"/>
        <v>2025-02</v>
      </c>
      <c r="M178" s="5">
        <f t="shared" ca="1" si="22"/>
        <v>46324.534849537034</v>
      </c>
      <c r="N178">
        <f t="shared" si="23"/>
        <v>137</v>
      </c>
    </row>
    <row r="179" spans="1:14" ht="15.75" customHeight="1" x14ac:dyDescent="0.25">
      <c r="A179" s="2" t="s">
        <v>16</v>
      </c>
      <c r="B179" s="2" t="s">
        <v>31</v>
      </c>
      <c r="C179" s="2" t="s">
        <v>34</v>
      </c>
      <c r="D179" s="2" t="s">
        <v>15</v>
      </c>
      <c r="E179">
        <v>1022.23</v>
      </c>
      <c r="F179" s="2">
        <v>8</v>
      </c>
      <c r="G179" s="6">
        <v>0.1</v>
      </c>
      <c r="H179" s="4">
        <v>45717</v>
      </c>
      <c r="I179" s="7">
        <v>460</v>
      </c>
      <c r="J179" s="7">
        <f>I179+E179*(G179-'What-If Analysis'!$B$4)</f>
        <v>460</v>
      </c>
      <c r="K179">
        <f t="shared" si="20"/>
        <v>3</v>
      </c>
      <c r="L179" t="str">
        <f t="shared" si="21"/>
        <v>2025-03</v>
      </c>
      <c r="M179" s="5">
        <f t="shared" ca="1" si="22"/>
        <v>46324.534849537034</v>
      </c>
      <c r="N179">
        <f t="shared" si="23"/>
        <v>85</v>
      </c>
    </row>
    <row r="180" spans="1:14" ht="15.75" customHeight="1" x14ac:dyDescent="0.25">
      <c r="A180" s="2" t="s">
        <v>72</v>
      </c>
      <c r="B180" s="2" t="s">
        <v>29</v>
      </c>
      <c r="C180" s="2" t="s">
        <v>18</v>
      </c>
      <c r="D180" s="2" t="s">
        <v>12</v>
      </c>
      <c r="E180">
        <v>1099.69</v>
      </c>
      <c r="F180" s="2">
        <v>6</v>
      </c>
      <c r="G180" s="6">
        <v>0</v>
      </c>
      <c r="H180" s="4">
        <v>45718</v>
      </c>
      <c r="I180" s="7">
        <v>439.88</v>
      </c>
      <c r="J180" s="7">
        <f>I180+E180*(G180-'What-If Analysis'!$B$4)</f>
        <v>329.911</v>
      </c>
      <c r="K180">
        <f t="shared" si="20"/>
        <v>3</v>
      </c>
      <c r="L180" t="str">
        <f t="shared" si="21"/>
        <v>2025-03</v>
      </c>
      <c r="M180" s="5">
        <f t="shared" ca="1" si="22"/>
        <v>46324.534849537034</v>
      </c>
      <c r="N180">
        <f t="shared" si="23"/>
        <v>68</v>
      </c>
    </row>
    <row r="181" spans="1:14" ht="15.75" customHeight="1" x14ac:dyDescent="0.25">
      <c r="A181" s="2" t="s">
        <v>52</v>
      </c>
      <c r="B181" s="2" t="s">
        <v>64</v>
      </c>
      <c r="C181" s="2" t="s">
        <v>24</v>
      </c>
      <c r="D181" s="2" t="s">
        <v>12</v>
      </c>
      <c r="E181">
        <v>710.52</v>
      </c>
      <c r="F181" s="2">
        <v>8</v>
      </c>
      <c r="G181" s="6">
        <v>0.1</v>
      </c>
      <c r="H181" s="4">
        <v>45721</v>
      </c>
      <c r="I181" s="7">
        <v>255.79</v>
      </c>
      <c r="J181" s="7">
        <f>I181+E181*(G181-'What-If Analysis'!$B$4)</f>
        <v>255.79</v>
      </c>
      <c r="K181">
        <f t="shared" si="20"/>
        <v>3</v>
      </c>
      <c r="L181" t="str">
        <f t="shared" si="21"/>
        <v>2025-03</v>
      </c>
      <c r="M181" s="5">
        <f t="shared" ca="1" si="22"/>
        <v>46324.534849537034</v>
      </c>
      <c r="N181">
        <f t="shared" si="23"/>
        <v>163</v>
      </c>
    </row>
    <row r="182" spans="1:14" ht="15.75" customHeight="1" x14ac:dyDescent="0.25">
      <c r="A182" s="2" t="s">
        <v>52</v>
      </c>
      <c r="B182" s="2" t="s">
        <v>59</v>
      </c>
      <c r="C182" s="2" t="s">
        <v>24</v>
      </c>
      <c r="D182" s="2" t="s">
        <v>12</v>
      </c>
      <c r="E182">
        <v>499.18</v>
      </c>
      <c r="F182" s="2">
        <v>15</v>
      </c>
      <c r="G182" s="6">
        <v>0.2</v>
      </c>
      <c r="H182" s="4">
        <v>45724</v>
      </c>
      <c r="I182" s="7">
        <v>159.74</v>
      </c>
      <c r="J182" s="7">
        <f>I182+E182*(G182-'What-If Analysis'!$B$4)</f>
        <v>209.65800000000002</v>
      </c>
      <c r="K182">
        <f t="shared" si="20"/>
        <v>3</v>
      </c>
      <c r="L182" t="str">
        <f t="shared" si="21"/>
        <v>2025-03</v>
      </c>
      <c r="M182" s="5">
        <f t="shared" ca="1" si="22"/>
        <v>46324.534849537034</v>
      </c>
      <c r="N182">
        <f t="shared" si="23"/>
        <v>190</v>
      </c>
    </row>
    <row r="183" spans="1:14" ht="15.75" customHeight="1" x14ac:dyDescent="0.25">
      <c r="A183" s="2" t="s">
        <v>37</v>
      </c>
      <c r="B183" s="2" t="s">
        <v>38</v>
      </c>
      <c r="C183" s="2" t="s">
        <v>20</v>
      </c>
      <c r="D183" s="2" t="s">
        <v>12</v>
      </c>
      <c r="E183">
        <v>1064.19</v>
      </c>
      <c r="F183" s="2">
        <v>18</v>
      </c>
      <c r="G183" s="6">
        <v>0.05</v>
      </c>
      <c r="H183" s="4">
        <v>45725</v>
      </c>
      <c r="I183" s="7">
        <v>404.39</v>
      </c>
      <c r="J183" s="7">
        <f>I183+E183*(G183-'What-If Analysis'!$B$4)</f>
        <v>351.18049999999999</v>
      </c>
      <c r="K183">
        <f t="shared" si="20"/>
        <v>3</v>
      </c>
      <c r="L183" t="str">
        <f t="shared" si="21"/>
        <v>2025-03</v>
      </c>
      <c r="M183" s="5">
        <f t="shared" ca="1" si="22"/>
        <v>46324.534849537034</v>
      </c>
      <c r="N183">
        <f t="shared" si="23"/>
        <v>77</v>
      </c>
    </row>
    <row r="184" spans="1:14" ht="15.75" customHeight="1" x14ac:dyDescent="0.25">
      <c r="A184" s="2" t="s">
        <v>67</v>
      </c>
      <c r="B184" s="2" t="s">
        <v>38</v>
      </c>
      <c r="C184" s="2" t="s">
        <v>18</v>
      </c>
      <c r="D184" s="2" t="s">
        <v>39</v>
      </c>
      <c r="E184">
        <v>438.76</v>
      </c>
      <c r="F184" s="2">
        <v>18</v>
      </c>
      <c r="G184" s="6">
        <v>0.05</v>
      </c>
      <c r="H184" s="4">
        <v>45726</v>
      </c>
      <c r="I184" s="7">
        <v>187.57</v>
      </c>
      <c r="J184" s="7">
        <f>I184+E184*(G184-'What-If Analysis'!$B$4)</f>
        <v>165.63200000000001</v>
      </c>
      <c r="K184">
        <f t="shared" si="20"/>
        <v>3</v>
      </c>
      <c r="L184" t="str">
        <f t="shared" si="21"/>
        <v>2025-03</v>
      </c>
      <c r="M184" s="5">
        <f t="shared" ca="1" si="22"/>
        <v>46324.534849537034</v>
      </c>
      <c r="N184">
        <f t="shared" si="23"/>
        <v>194</v>
      </c>
    </row>
    <row r="185" spans="1:14" ht="15.75" customHeight="1" x14ac:dyDescent="0.25">
      <c r="A185" s="2" t="s">
        <v>41</v>
      </c>
      <c r="B185" s="2" t="s">
        <v>55</v>
      </c>
      <c r="C185" s="2" t="s">
        <v>11</v>
      </c>
      <c r="D185" s="2" t="s">
        <v>15</v>
      </c>
      <c r="E185">
        <v>864.98</v>
      </c>
      <c r="F185" s="2">
        <v>2</v>
      </c>
      <c r="G185" s="6">
        <v>0.05</v>
      </c>
      <c r="H185" s="4">
        <v>45727</v>
      </c>
      <c r="I185" s="7">
        <v>410.87</v>
      </c>
      <c r="J185" s="7">
        <f>I185+E185*(G185-'What-If Analysis'!$B$4)</f>
        <v>367.62099999999998</v>
      </c>
      <c r="K185">
        <f t="shared" si="20"/>
        <v>3</v>
      </c>
      <c r="L185" t="str">
        <f t="shared" si="21"/>
        <v>2025-03</v>
      </c>
      <c r="M185" s="5">
        <f t="shared" ca="1" si="22"/>
        <v>46324.534849537034</v>
      </c>
      <c r="N185">
        <f t="shared" si="23"/>
        <v>126</v>
      </c>
    </row>
    <row r="186" spans="1:14" ht="15.75" customHeight="1" x14ac:dyDescent="0.25">
      <c r="A186" s="2" t="s">
        <v>57</v>
      </c>
      <c r="B186" s="2" t="s">
        <v>55</v>
      </c>
      <c r="C186" s="2" t="s">
        <v>11</v>
      </c>
      <c r="D186" s="2" t="s">
        <v>27</v>
      </c>
      <c r="E186">
        <v>984.93</v>
      </c>
      <c r="F186" s="2">
        <v>14</v>
      </c>
      <c r="G186" s="6">
        <v>0.2</v>
      </c>
      <c r="H186" s="4">
        <v>45733</v>
      </c>
      <c r="I186" s="7">
        <v>275.77999999999997</v>
      </c>
      <c r="J186" s="7">
        <f>I186+E186*(G186-'What-If Analysis'!$B$4)</f>
        <v>374.27299999999997</v>
      </c>
      <c r="K186">
        <f t="shared" si="20"/>
        <v>3</v>
      </c>
      <c r="L186" t="str">
        <f t="shared" si="21"/>
        <v>2025-03</v>
      </c>
      <c r="M186" s="5">
        <f t="shared" ca="1" si="22"/>
        <v>46324.534849537034</v>
      </c>
      <c r="N186">
        <f t="shared" si="23"/>
        <v>97</v>
      </c>
    </row>
    <row r="187" spans="1:14" ht="15.75" customHeight="1" x14ac:dyDescent="0.25">
      <c r="A187" s="2" t="s">
        <v>25</v>
      </c>
      <c r="B187" s="2" t="s">
        <v>55</v>
      </c>
      <c r="C187" s="2" t="s">
        <v>11</v>
      </c>
      <c r="D187" s="2" t="s">
        <v>15</v>
      </c>
      <c r="E187">
        <v>1493.49</v>
      </c>
      <c r="F187" s="2">
        <v>18</v>
      </c>
      <c r="G187" s="6">
        <v>0</v>
      </c>
      <c r="H187" s="4">
        <v>45734</v>
      </c>
      <c r="I187" s="7">
        <v>746.74</v>
      </c>
      <c r="J187" s="7">
        <f>I187+E187*(G187-'What-If Analysis'!$B$4)</f>
        <v>597.39099999999996</v>
      </c>
      <c r="K187">
        <f t="shared" si="20"/>
        <v>3</v>
      </c>
      <c r="L187" t="str">
        <f t="shared" si="21"/>
        <v>2025-03</v>
      </c>
      <c r="M187" s="5">
        <f t="shared" ca="1" si="22"/>
        <v>46324.534849537034</v>
      </c>
      <c r="N187">
        <f t="shared" si="23"/>
        <v>10</v>
      </c>
    </row>
    <row r="188" spans="1:14" ht="15.75" customHeight="1" x14ac:dyDescent="0.25">
      <c r="A188" s="2" t="s">
        <v>32</v>
      </c>
      <c r="B188" s="2" t="s">
        <v>53</v>
      </c>
      <c r="C188" s="2" t="s">
        <v>20</v>
      </c>
      <c r="D188" s="2" t="s">
        <v>15</v>
      </c>
      <c r="E188">
        <v>689.43</v>
      </c>
      <c r="F188" s="2">
        <v>9</v>
      </c>
      <c r="G188" s="6">
        <v>0.1</v>
      </c>
      <c r="H188" s="4">
        <v>45736</v>
      </c>
      <c r="I188" s="7">
        <v>310.24</v>
      </c>
      <c r="J188" s="7">
        <f>I188+E188*(G188-'What-If Analysis'!$B$4)</f>
        <v>310.24</v>
      </c>
      <c r="K188">
        <f t="shared" si="20"/>
        <v>3</v>
      </c>
      <c r="L188" t="str">
        <f t="shared" si="21"/>
        <v>2025-03</v>
      </c>
      <c r="M188" s="5">
        <f t="shared" ca="1" si="22"/>
        <v>46324.534849537034</v>
      </c>
      <c r="N188">
        <f t="shared" si="23"/>
        <v>168</v>
      </c>
    </row>
    <row r="189" spans="1:14" ht="15.75" customHeight="1" x14ac:dyDescent="0.25">
      <c r="A189" s="2" t="s">
        <v>40</v>
      </c>
      <c r="B189" s="2" t="s">
        <v>59</v>
      </c>
      <c r="C189" s="2" t="s">
        <v>20</v>
      </c>
      <c r="D189" s="2" t="s">
        <v>15</v>
      </c>
      <c r="E189">
        <v>682.24</v>
      </c>
      <c r="F189" s="2">
        <v>1</v>
      </c>
      <c r="G189" s="6">
        <v>0</v>
      </c>
      <c r="H189" s="4">
        <v>45738</v>
      </c>
      <c r="I189" s="7">
        <v>341.12</v>
      </c>
      <c r="J189" s="7">
        <f>I189+E189*(G189-'What-If Analysis'!$B$4)</f>
        <v>272.89600000000002</v>
      </c>
      <c r="K189">
        <f t="shared" si="20"/>
        <v>3</v>
      </c>
      <c r="L189" t="str">
        <f t="shared" si="21"/>
        <v>2025-03</v>
      </c>
      <c r="M189" s="5">
        <f t="shared" ca="1" si="22"/>
        <v>46324.534849537034</v>
      </c>
      <c r="N189">
        <f t="shared" si="23"/>
        <v>170</v>
      </c>
    </row>
    <row r="190" spans="1:14" ht="15.75" customHeight="1" x14ac:dyDescent="0.25">
      <c r="A190" s="2" t="s">
        <v>41</v>
      </c>
      <c r="B190" s="2" t="s">
        <v>26</v>
      </c>
      <c r="C190" s="2" t="s">
        <v>24</v>
      </c>
      <c r="D190" s="2" t="s">
        <v>21</v>
      </c>
      <c r="E190">
        <v>458.54</v>
      </c>
      <c r="F190" s="2">
        <v>15</v>
      </c>
      <c r="G190" s="6">
        <v>0.2</v>
      </c>
      <c r="H190" s="4">
        <v>45741</v>
      </c>
      <c r="I190" s="7">
        <v>91.71</v>
      </c>
      <c r="J190" s="7">
        <f>I190+E190*(G190-'What-If Analysis'!$B$4)</f>
        <v>137.56399999999999</v>
      </c>
      <c r="K190">
        <f t="shared" si="20"/>
        <v>3</v>
      </c>
      <c r="L190" t="str">
        <f t="shared" si="21"/>
        <v>2025-03</v>
      </c>
      <c r="M190" s="5">
        <f t="shared" ca="1" si="22"/>
        <v>46324.534849537034</v>
      </c>
      <c r="N190">
        <f t="shared" si="23"/>
        <v>193</v>
      </c>
    </row>
    <row r="191" spans="1:14" ht="15.75" customHeight="1" x14ac:dyDescent="0.25">
      <c r="A191" s="2" t="s">
        <v>32</v>
      </c>
      <c r="B191" s="2" t="s">
        <v>26</v>
      </c>
      <c r="C191" s="2" t="s">
        <v>20</v>
      </c>
      <c r="D191" s="2" t="s">
        <v>27</v>
      </c>
      <c r="E191">
        <v>1184.25</v>
      </c>
      <c r="F191" s="2">
        <v>11</v>
      </c>
      <c r="G191" s="6">
        <v>0.2</v>
      </c>
      <c r="H191" s="4">
        <v>45742</v>
      </c>
      <c r="I191" s="7">
        <v>331.59</v>
      </c>
      <c r="J191" s="7">
        <f>I191+E191*(G191-'What-If Analysis'!$B$4)</f>
        <v>450.01499999999999</v>
      </c>
      <c r="K191">
        <f t="shared" si="20"/>
        <v>3</v>
      </c>
      <c r="L191" t="str">
        <f t="shared" si="21"/>
        <v>2025-03</v>
      </c>
      <c r="M191" s="5">
        <f t="shared" ca="1" si="22"/>
        <v>46324.534849537034</v>
      </c>
      <c r="N191">
        <f t="shared" si="23"/>
        <v>49</v>
      </c>
    </row>
    <row r="192" spans="1:14" ht="15.75" customHeight="1" x14ac:dyDescent="0.25">
      <c r="A192" s="2" t="s">
        <v>25</v>
      </c>
      <c r="B192" s="2" t="s">
        <v>10</v>
      </c>
      <c r="C192" s="2" t="s">
        <v>20</v>
      </c>
      <c r="D192" s="2" t="s">
        <v>15</v>
      </c>
      <c r="E192">
        <v>762.14</v>
      </c>
      <c r="F192" s="2">
        <v>9</v>
      </c>
      <c r="G192" s="6">
        <v>0</v>
      </c>
      <c r="H192" s="4">
        <v>45743</v>
      </c>
      <c r="I192" s="7">
        <v>381.07</v>
      </c>
      <c r="J192" s="7">
        <f>I192+E192*(G192-'What-If Analysis'!$B$4)</f>
        <v>304.85599999999999</v>
      </c>
      <c r="K192">
        <f t="shared" si="20"/>
        <v>3</v>
      </c>
      <c r="L192" t="str">
        <f t="shared" si="21"/>
        <v>2025-03</v>
      </c>
      <c r="M192" s="5">
        <f t="shared" ca="1" si="22"/>
        <v>46324.534849537034</v>
      </c>
      <c r="N192">
        <f t="shared" si="23"/>
        <v>150</v>
      </c>
    </row>
    <row r="193" spans="1:14" ht="15.75" customHeight="1" x14ac:dyDescent="0.25">
      <c r="A193" s="2" t="s">
        <v>22</v>
      </c>
      <c r="B193" s="2" t="s">
        <v>53</v>
      </c>
      <c r="C193" s="2" t="s">
        <v>24</v>
      </c>
      <c r="D193" s="2" t="s">
        <v>12</v>
      </c>
      <c r="E193">
        <v>750.71</v>
      </c>
      <c r="F193" s="2">
        <v>10</v>
      </c>
      <c r="G193" s="6">
        <v>0.15</v>
      </c>
      <c r="H193" s="4">
        <v>45743</v>
      </c>
      <c r="I193" s="7">
        <v>255.24</v>
      </c>
      <c r="J193" s="7">
        <f>I193+E193*(G193-'What-If Analysis'!$B$4)</f>
        <v>292.77550000000002</v>
      </c>
      <c r="K193">
        <f t="shared" si="20"/>
        <v>3</v>
      </c>
      <c r="L193" t="str">
        <f t="shared" si="21"/>
        <v>2025-03</v>
      </c>
      <c r="M193" s="5">
        <f t="shared" ca="1" si="22"/>
        <v>46324.534849537034</v>
      </c>
      <c r="N193">
        <f t="shared" si="23"/>
        <v>152</v>
      </c>
    </row>
    <row r="194" spans="1:14" ht="15.75" customHeight="1" x14ac:dyDescent="0.25">
      <c r="A194" s="2" t="s">
        <v>75</v>
      </c>
      <c r="B194" s="2" t="s">
        <v>71</v>
      </c>
      <c r="C194" s="2" t="s">
        <v>34</v>
      </c>
      <c r="D194" s="2" t="s">
        <v>15</v>
      </c>
      <c r="E194">
        <v>1456.94</v>
      </c>
      <c r="F194" s="2">
        <v>14</v>
      </c>
      <c r="G194" s="6">
        <v>0.05</v>
      </c>
      <c r="H194" s="4">
        <v>45745</v>
      </c>
      <c r="I194" s="7">
        <v>692.05</v>
      </c>
      <c r="J194" s="7">
        <f>I194+E194*(G194-'What-If Analysis'!$B$4)</f>
        <v>619.20299999999997</v>
      </c>
      <c r="K194">
        <f t="shared" ref="K194:K201" si="24">MONTH(H194)</f>
        <v>3</v>
      </c>
      <c r="L194" t="str">
        <f t="shared" ref="L194:L201" si="25">TEXT(H194,"yyyy-mm")</f>
        <v>2025-03</v>
      </c>
      <c r="M194" s="5">
        <f t="shared" ref="M194:M201" ca="1" si="26">NOW()</f>
        <v>46324.534849537034</v>
      </c>
      <c r="N194">
        <f t="shared" ref="N194:N201" si="27">_xlfn.RANK.EQ(E194,$E$2:$E$201,0)</f>
        <v>13</v>
      </c>
    </row>
    <row r="195" spans="1:14" ht="15.75" customHeight="1" x14ac:dyDescent="0.25">
      <c r="A195" s="2" t="s">
        <v>44</v>
      </c>
      <c r="B195" s="2" t="s">
        <v>61</v>
      </c>
      <c r="C195" s="2" t="s">
        <v>18</v>
      </c>
      <c r="D195" s="2" t="s">
        <v>27</v>
      </c>
      <c r="E195">
        <v>1093.3800000000001</v>
      </c>
      <c r="F195" s="2">
        <v>17</v>
      </c>
      <c r="G195" s="6">
        <v>0.1</v>
      </c>
      <c r="H195" s="4">
        <v>45745</v>
      </c>
      <c r="I195" s="7">
        <v>344.41</v>
      </c>
      <c r="J195" s="7">
        <f>I195+E195*(G195-'What-If Analysis'!$B$4)</f>
        <v>344.41</v>
      </c>
      <c r="K195">
        <f t="shared" si="24"/>
        <v>3</v>
      </c>
      <c r="L195" t="str">
        <f t="shared" si="25"/>
        <v>2025-03</v>
      </c>
      <c r="M195" s="5">
        <f t="shared" ca="1" si="26"/>
        <v>46324.534849537034</v>
      </c>
      <c r="N195">
        <f t="shared" si="27"/>
        <v>70</v>
      </c>
    </row>
    <row r="196" spans="1:14" ht="15.75" customHeight="1" x14ac:dyDescent="0.25">
      <c r="A196" s="2" t="s">
        <v>37</v>
      </c>
      <c r="B196" s="2" t="s">
        <v>43</v>
      </c>
      <c r="C196" s="2" t="s">
        <v>11</v>
      </c>
      <c r="D196" s="2" t="s">
        <v>15</v>
      </c>
      <c r="E196">
        <v>934.27</v>
      </c>
      <c r="F196" s="2">
        <v>8</v>
      </c>
      <c r="G196" s="6">
        <v>0.15</v>
      </c>
      <c r="H196" s="4">
        <v>45746</v>
      </c>
      <c r="I196" s="7">
        <v>397.06</v>
      </c>
      <c r="J196" s="7">
        <f>I196+E196*(G196-'What-If Analysis'!$B$4)</f>
        <v>443.77350000000001</v>
      </c>
      <c r="K196">
        <f t="shared" si="24"/>
        <v>3</v>
      </c>
      <c r="L196" t="str">
        <f t="shared" si="25"/>
        <v>2025-03</v>
      </c>
      <c r="M196" s="5">
        <f t="shared" ca="1" si="26"/>
        <v>46324.534849537034</v>
      </c>
      <c r="N196">
        <f t="shared" si="27"/>
        <v>110</v>
      </c>
    </row>
    <row r="197" spans="1:14" ht="15.75" customHeight="1" x14ac:dyDescent="0.25">
      <c r="A197" s="2" t="s">
        <v>70</v>
      </c>
      <c r="B197" s="2" t="s">
        <v>36</v>
      </c>
      <c r="C197" s="2" t="s">
        <v>34</v>
      </c>
      <c r="D197" s="2" t="s">
        <v>15</v>
      </c>
      <c r="E197">
        <v>1465.35</v>
      </c>
      <c r="F197" s="2">
        <v>8</v>
      </c>
      <c r="G197" s="6">
        <v>0.2</v>
      </c>
      <c r="H197" s="4">
        <v>45746</v>
      </c>
      <c r="I197" s="7">
        <v>586.14</v>
      </c>
      <c r="J197" s="7">
        <f>I197+E197*(G197-'What-If Analysis'!$B$4)</f>
        <v>732.67499999999995</v>
      </c>
      <c r="K197">
        <f t="shared" si="24"/>
        <v>3</v>
      </c>
      <c r="L197" t="str">
        <f t="shared" si="25"/>
        <v>2025-03</v>
      </c>
      <c r="M197" s="5">
        <f t="shared" ca="1" si="26"/>
        <v>46324.534849537034</v>
      </c>
      <c r="N197">
        <f t="shared" si="27"/>
        <v>12</v>
      </c>
    </row>
    <row r="198" spans="1:14" ht="15.75" customHeight="1" x14ac:dyDescent="0.25">
      <c r="A198" s="2" t="s">
        <v>52</v>
      </c>
      <c r="B198" s="2" t="s">
        <v>14</v>
      </c>
      <c r="C198" s="2" t="s">
        <v>20</v>
      </c>
      <c r="D198" s="2" t="s">
        <v>39</v>
      </c>
      <c r="E198">
        <v>740.8</v>
      </c>
      <c r="F198" s="2">
        <v>3</v>
      </c>
      <c r="G198" s="6">
        <v>0</v>
      </c>
      <c r="H198" s="4">
        <v>45749</v>
      </c>
      <c r="I198" s="7">
        <v>333.36</v>
      </c>
      <c r="J198" s="7">
        <f>I198+E198*(G198-'What-If Analysis'!$B$4)</f>
        <v>259.28000000000003</v>
      </c>
      <c r="K198">
        <f t="shared" si="24"/>
        <v>4</v>
      </c>
      <c r="L198" t="str">
        <f t="shared" si="25"/>
        <v>2025-04</v>
      </c>
      <c r="M198" s="5">
        <f t="shared" ca="1" si="26"/>
        <v>46324.534849537034</v>
      </c>
      <c r="N198">
        <f t="shared" si="27"/>
        <v>157</v>
      </c>
    </row>
    <row r="199" spans="1:14" ht="15.75" customHeight="1" x14ac:dyDescent="0.25">
      <c r="A199" s="2" t="s">
        <v>58</v>
      </c>
      <c r="B199" s="2" t="s">
        <v>43</v>
      </c>
      <c r="C199" s="2" t="s">
        <v>11</v>
      </c>
      <c r="D199" s="2" t="s">
        <v>39</v>
      </c>
      <c r="E199">
        <v>545.44000000000005</v>
      </c>
      <c r="F199" s="2">
        <v>17</v>
      </c>
      <c r="G199" s="6">
        <v>0</v>
      </c>
      <c r="H199" s="4">
        <v>45752</v>
      </c>
      <c r="I199" s="7">
        <v>245.45</v>
      </c>
      <c r="J199" s="7">
        <f>I199+E199*(G199-'What-If Analysis'!$B$4)</f>
        <v>190.90599999999998</v>
      </c>
      <c r="K199">
        <f t="shared" si="24"/>
        <v>4</v>
      </c>
      <c r="L199" t="str">
        <f t="shared" si="25"/>
        <v>2025-04</v>
      </c>
      <c r="M199" s="5">
        <f t="shared" ca="1" si="26"/>
        <v>46324.534849537034</v>
      </c>
      <c r="N199">
        <f t="shared" si="27"/>
        <v>184</v>
      </c>
    </row>
    <row r="200" spans="1:14" ht="15.75" customHeight="1" x14ac:dyDescent="0.25">
      <c r="A200" s="2" t="s">
        <v>35</v>
      </c>
      <c r="B200" s="2" t="s">
        <v>36</v>
      </c>
      <c r="C200" s="2" t="s">
        <v>18</v>
      </c>
      <c r="D200" s="2" t="s">
        <v>12</v>
      </c>
      <c r="E200">
        <v>997.61</v>
      </c>
      <c r="F200" s="2">
        <v>8</v>
      </c>
      <c r="G200" s="6">
        <v>0.05</v>
      </c>
      <c r="H200" s="4">
        <v>45752</v>
      </c>
      <c r="I200" s="7">
        <v>379.09</v>
      </c>
      <c r="J200" s="7">
        <f>I200+E200*(G200-'What-If Analysis'!$B$4)</f>
        <v>329.20949999999999</v>
      </c>
      <c r="K200">
        <f t="shared" si="24"/>
        <v>4</v>
      </c>
      <c r="L200" t="str">
        <f t="shared" si="25"/>
        <v>2025-04</v>
      </c>
      <c r="M200" s="5">
        <f t="shared" ca="1" si="26"/>
        <v>46324.534849537034</v>
      </c>
      <c r="N200">
        <f t="shared" si="27"/>
        <v>95</v>
      </c>
    </row>
    <row r="201" spans="1:14" ht="15.75" customHeight="1" x14ac:dyDescent="0.25">
      <c r="A201" s="2" t="s">
        <v>60</v>
      </c>
      <c r="B201" s="2" t="s">
        <v>36</v>
      </c>
      <c r="C201" s="2" t="s">
        <v>20</v>
      </c>
      <c r="D201" s="2" t="s">
        <v>15</v>
      </c>
      <c r="E201">
        <v>928.32</v>
      </c>
      <c r="F201" s="2">
        <v>2</v>
      </c>
      <c r="G201" s="6">
        <v>0.05</v>
      </c>
      <c r="H201" s="4">
        <v>45754</v>
      </c>
      <c r="I201" s="7">
        <v>440.95</v>
      </c>
      <c r="J201" s="7">
        <f>I201+E201*(G201-'What-If Analysis'!$B$4)</f>
        <v>394.53399999999999</v>
      </c>
      <c r="K201">
        <f t="shared" si="24"/>
        <v>4</v>
      </c>
      <c r="L201" t="str">
        <f t="shared" si="25"/>
        <v>2025-04</v>
      </c>
      <c r="M201" s="5">
        <f t="shared" ca="1" si="26"/>
        <v>46324.534849537034</v>
      </c>
      <c r="N201">
        <f t="shared" si="27"/>
        <v>112</v>
      </c>
    </row>
    <row r="202" spans="1:14" ht="15.75" customHeight="1" x14ac:dyDescent="0.25"/>
    <row r="203" spans="1:14" ht="15.75" customHeight="1" x14ac:dyDescent="0.25"/>
    <row r="204" spans="1:14" ht="15.75" customHeight="1" x14ac:dyDescent="0.25"/>
    <row r="205" spans="1:14" ht="15.75" customHeight="1" x14ac:dyDescent="0.25"/>
    <row r="206" spans="1:14" ht="15.75" customHeight="1" x14ac:dyDescent="0.25"/>
    <row r="207" spans="1:14" ht="15.75" customHeight="1" x14ac:dyDescent="0.25"/>
    <row r="208" spans="1:1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E201">
    <cfRule type="dataBar" priority="1">
      <dataBar>
        <cfvo type="min"/>
        <cfvo type="max"/>
        <color rgb="FF087E8B"/>
      </dataBar>
    </cfRule>
    <cfRule type="dataBar" priority="2">
      <dataBar>
        <cfvo type="min"/>
        <cfvo type="max"/>
        <color rgb="FF087E8B"/>
      </dataBar>
      <extLst>
        <ext xmlns:x14="http://schemas.microsoft.com/office/spreadsheetml/2009/9/main" uri="{B025F937-C7B1-47D3-B67F-A62EFF666E3E}">
          <x14:id>{C5BA151A-1D8E-95FC-AB18-6202C8116BB6}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151A-1D8E-95FC-AB18-6202C8116BB6}">
            <x14:dataBar>
              <x14:cfvo type="min"/>
              <x14:cfvo type="max"/>
              <x14:negativeFillColor auto="1"/>
              <x14:axisColor auto="1"/>
            </x14:dataBar>
          </x14:cfRule>
          <xm:sqref>E2:E201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9" customWidth="1"/>
    <col min="2" max="3" width="20" customWidth="1"/>
    <col min="4" max="4" width="14" customWidth="1"/>
    <col min="5" max="5" width="12" customWidth="1"/>
    <col min="6" max="6" width="19" customWidth="1"/>
    <col min="7" max="7" width="18" customWidth="1"/>
    <col min="8" max="8" width="22" customWidth="1"/>
  </cols>
  <sheetData>
    <row r="1" spans="1:8" ht="30" customHeight="1" x14ac:dyDescent="0.25">
      <c r="A1" s="8" t="s">
        <v>81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H1" s="8" t="s">
        <v>88</v>
      </c>
    </row>
    <row r="2" spans="1:8" x14ac:dyDescent="0.25">
      <c r="A2" t="s">
        <v>58</v>
      </c>
      <c r="B2">
        <f>SUMIF(Dataset!$A$2:$A$201,A2,Dataset!$E$2:$E$201)</f>
        <v>11611.060000000001</v>
      </c>
      <c r="C2">
        <f>SUMIF(Dataset!$A$2:$A$201,A2,Dataset!$I$2:$I$201)</f>
        <v>4201.59</v>
      </c>
      <c r="D2">
        <f>COUNTIF(Dataset!$A$2:$A$201,A2)</f>
        <v>11</v>
      </c>
      <c r="E2">
        <f t="shared" ref="E2:E31" si="0">_xlfn.RANK.EQ(B2,$B$2:$B$31,0)</f>
        <v>1</v>
      </c>
      <c r="F2" t="str">
        <f t="shared" ref="F2:F31" si="1">IF(E2&lt;=10,"TOP 10","STANDARD")</f>
        <v>TOP 10</v>
      </c>
      <c r="G2" t="str">
        <f t="shared" ref="G2:G31" si="2">A2</f>
        <v>CUST015</v>
      </c>
      <c r="H2">
        <f t="shared" ref="H2:H31" si="3">INDEX($B$2:$B$31,MATCH(G2,$A$2:$A$31,0))</f>
        <v>11611.060000000001</v>
      </c>
    </row>
    <row r="3" spans="1:8" x14ac:dyDescent="0.25">
      <c r="A3" t="s">
        <v>52</v>
      </c>
      <c r="B3">
        <f>SUMIF(Dataset!$A$2:$A$201,A3,Dataset!$E$2:$E$201)</f>
        <v>10293.870000000001</v>
      </c>
      <c r="C3">
        <f>SUMIF(Dataset!$A$2:$A$201,A3,Dataset!$I$2:$I$201)</f>
        <v>3541.02</v>
      </c>
      <c r="D3">
        <f>COUNTIF(Dataset!$A$2:$A$201,A3)</f>
        <v>12</v>
      </c>
      <c r="E3">
        <f t="shared" si="0"/>
        <v>2</v>
      </c>
      <c r="F3" t="str">
        <f t="shared" si="1"/>
        <v>TOP 10</v>
      </c>
      <c r="G3" t="str">
        <f t="shared" si="2"/>
        <v>CUST028</v>
      </c>
      <c r="H3">
        <f t="shared" si="3"/>
        <v>10293.870000000001</v>
      </c>
    </row>
    <row r="4" spans="1:8" x14ac:dyDescent="0.25">
      <c r="A4" t="s">
        <v>25</v>
      </c>
      <c r="B4">
        <f>SUMIF(Dataset!$A$2:$A$201,A4,Dataset!$E$2:$E$201)</f>
        <v>9941.8799999999992</v>
      </c>
      <c r="C4">
        <f>SUMIF(Dataset!$A$2:$A$201,A4,Dataset!$I$2:$I$201)</f>
        <v>3936.2599999999998</v>
      </c>
      <c r="D4">
        <f>COUNTIF(Dataset!$A$2:$A$201,A4)</f>
        <v>10</v>
      </c>
      <c r="E4">
        <f t="shared" si="0"/>
        <v>3</v>
      </c>
      <c r="F4" t="str">
        <f t="shared" si="1"/>
        <v>TOP 10</v>
      </c>
      <c r="G4" t="str">
        <f t="shared" si="2"/>
        <v>CUST007</v>
      </c>
      <c r="H4">
        <f t="shared" si="3"/>
        <v>9941.8799999999992</v>
      </c>
    </row>
    <row r="5" spans="1:8" x14ac:dyDescent="0.25">
      <c r="A5" t="s">
        <v>44</v>
      </c>
      <c r="B5">
        <f>SUMIF(Dataset!$A$2:$A$201,A5,Dataset!$E$2:$E$201)</f>
        <v>9760.7999999999993</v>
      </c>
      <c r="C5">
        <f>SUMIF(Dataset!$A$2:$A$201,A5,Dataset!$I$2:$I$201)</f>
        <v>3442.48</v>
      </c>
      <c r="D5">
        <f>COUNTIF(Dataset!$A$2:$A$201,A5)</f>
        <v>10</v>
      </c>
      <c r="E5">
        <f t="shared" si="0"/>
        <v>4</v>
      </c>
      <c r="F5" t="str">
        <f t="shared" si="1"/>
        <v>TOP 10</v>
      </c>
      <c r="G5" t="str">
        <f t="shared" si="2"/>
        <v>CUST008</v>
      </c>
      <c r="H5">
        <f t="shared" si="3"/>
        <v>9760.7999999999993</v>
      </c>
    </row>
    <row r="6" spans="1:8" x14ac:dyDescent="0.25">
      <c r="A6" t="s">
        <v>30</v>
      </c>
      <c r="B6">
        <f>SUMIF(Dataset!$A$2:$A$201,A6,Dataset!$E$2:$E$201)</f>
        <v>9371.81</v>
      </c>
      <c r="C6">
        <f>SUMIF(Dataset!$A$2:$A$201,A6,Dataset!$I$2:$I$201)</f>
        <v>2922.0199999999995</v>
      </c>
      <c r="D6">
        <f>COUNTIF(Dataset!$A$2:$A$201,A6)</f>
        <v>9</v>
      </c>
      <c r="E6">
        <f t="shared" si="0"/>
        <v>5</v>
      </c>
      <c r="F6" t="str">
        <f t="shared" si="1"/>
        <v>TOP 10</v>
      </c>
      <c r="G6" t="str">
        <f t="shared" si="2"/>
        <v>CUST026</v>
      </c>
      <c r="H6">
        <f t="shared" si="3"/>
        <v>9371.81</v>
      </c>
    </row>
    <row r="7" spans="1:8" x14ac:dyDescent="0.25">
      <c r="A7" t="s">
        <v>57</v>
      </c>
      <c r="B7">
        <f>SUMIF(Dataset!$A$2:$A$201,A7,Dataset!$E$2:$E$201)</f>
        <v>8740.18</v>
      </c>
      <c r="C7">
        <f>SUMIF(Dataset!$A$2:$A$201,A7,Dataset!$I$2:$I$201)</f>
        <v>2848.62</v>
      </c>
      <c r="D7">
        <f>COUNTIF(Dataset!$A$2:$A$201,A7)</f>
        <v>8</v>
      </c>
      <c r="E7">
        <f t="shared" si="0"/>
        <v>6</v>
      </c>
      <c r="F7" t="str">
        <f t="shared" si="1"/>
        <v>TOP 10</v>
      </c>
      <c r="G7" t="str">
        <f t="shared" si="2"/>
        <v>CUST021</v>
      </c>
      <c r="H7">
        <f t="shared" si="3"/>
        <v>8740.18</v>
      </c>
    </row>
    <row r="8" spans="1:8" x14ac:dyDescent="0.25">
      <c r="A8" t="s">
        <v>67</v>
      </c>
      <c r="B8">
        <f>SUMIF(Dataset!$A$2:$A$201,A8,Dataset!$E$2:$E$201)</f>
        <v>8490.18</v>
      </c>
      <c r="C8">
        <f>SUMIF(Dataset!$A$2:$A$201,A8,Dataset!$I$2:$I$201)</f>
        <v>2652.75</v>
      </c>
      <c r="D8">
        <f>COUNTIF(Dataset!$A$2:$A$201,A8)</f>
        <v>9</v>
      </c>
      <c r="E8">
        <f t="shared" si="0"/>
        <v>7</v>
      </c>
      <c r="F8" t="str">
        <f t="shared" si="1"/>
        <v>TOP 10</v>
      </c>
      <c r="G8" t="str">
        <f t="shared" si="2"/>
        <v>CUST003</v>
      </c>
      <c r="H8">
        <f t="shared" si="3"/>
        <v>8490.18</v>
      </c>
    </row>
    <row r="9" spans="1:8" x14ac:dyDescent="0.25">
      <c r="A9" t="s">
        <v>13</v>
      </c>
      <c r="B9">
        <f>SUMIF(Dataset!$A$2:$A$201,A9,Dataset!$E$2:$E$201)</f>
        <v>8339</v>
      </c>
      <c r="C9">
        <f>SUMIF(Dataset!$A$2:$A$201,A9,Dataset!$I$2:$I$201)</f>
        <v>2988.7100000000005</v>
      </c>
      <c r="D9">
        <f>COUNTIF(Dataset!$A$2:$A$201,A9)</f>
        <v>9</v>
      </c>
      <c r="E9">
        <f t="shared" si="0"/>
        <v>8</v>
      </c>
      <c r="F9" t="str">
        <f t="shared" si="1"/>
        <v>TOP 10</v>
      </c>
      <c r="G9" t="str">
        <f t="shared" si="2"/>
        <v>CUST012</v>
      </c>
      <c r="H9">
        <f t="shared" si="3"/>
        <v>8339</v>
      </c>
    </row>
    <row r="10" spans="1:8" x14ac:dyDescent="0.25">
      <c r="A10" t="s">
        <v>22</v>
      </c>
      <c r="B10">
        <f>SUMIF(Dataset!$A$2:$A$201,A10,Dataset!$E$2:$E$201)</f>
        <v>7928.71</v>
      </c>
      <c r="C10">
        <f>SUMIF(Dataset!$A$2:$A$201,A10,Dataset!$I$2:$I$201)</f>
        <v>2965.4799999999996</v>
      </c>
      <c r="D10">
        <f>COUNTIF(Dataset!$A$2:$A$201,A10)</f>
        <v>9</v>
      </c>
      <c r="E10">
        <f t="shared" si="0"/>
        <v>9</v>
      </c>
      <c r="F10" t="str">
        <f t="shared" si="1"/>
        <v>TOP 10</v>
      </c>
      <c r="G10" t="str">
        <f t="shared" si="2"/>
        <v>CUST030</v>
      </c>
      <c r="H10">
        <f t="shared" si="3"/>
        <v>7928.71</v>
      </c>
    </row>
    <row r="11" spans="1:8" x14ac:dyDescent="0.25">
      <c r="A11" t="s">
        <v>72</v>
      </c>
      <c r="B11">
        <f>SUMIF(Dataset!$A$2:$A$201,A11,Dataset!$E$2:$E$201)</f>
        <v>7813.59</v>
      </c>
      <c r="C11">
        <f>SUMIF(Dataset!$A$2:$A$201,A11,Dataset!$I$2:$I$201)</f>
        <v>3211.82</v>
      </c>
      <c r="D11">
        <f>COUNTIF(Dataset!$A$2:$A$201,A11)</f>
        <v>7</v>
      </c>
      <c r="E11">
        <f t="shared" si="0"/>
        <v>10</v>
      </c>
      <c r="F11" t="str">
        <f t="shared" si="1"/>
        <v>TOP 10</v>
      </c>
      <c r="G11" t="str">
        <f t="shared" si="2"/>
        <v>CUST004</v>
      </c>
      <c r="H11">
        <f t="shared" si="3"/>
        <v>7813.59</v>
      </c>
    </row>
    <row r="12" spans="1:8" x14ac:dyDescent="0.25">
      <c r="A12" t="s">
        <v>70</v>
      </c>
      <c r="B12">
        <f>SUMIF(Dataset!$A$2:$A$201,A12,Dataset!$E$2:$E$201)</f>
        <v>7583.1299999999992</v>
      </c>
      <c r="C12">
        <f>SUMIF(Dataset!$A$2:$A$201,A12,Dataset!$I$2:$I$201)</f>
        <v>2492.1</v>
      </c>
      <c r="D12">
        <f>COUNTIF(Dataset!$A$2:$A$201,A12)</f>
        <v>7</v>
      </c>
      <c r="E12">
        <f t="shared" si="0"/>
        <v>11</v>
      </c>
      <c r="F12" t="str">
        <f t="shared" si="1"/>
        <v>STANDARD</v>
      </c>
      <c r="G12" t="str">
        <f t="shared" si="2"/>
        <v>CUST024</v>
      </c>
      <c r="H12">
        <f t="shared" si="3"/>
        <v>7583.1299999999992</v>
      </c>
    </row>
    <row r="13" spans="1:8" x14ac:dyDescent="0.25">
      <c r="A13" t="s">
        <v>37</v>
      </c>
      <c r="B13">
        <f>SUMIF(Dataset!$A$2:$A$201,A13,Dataset!$E$2:$E$201)</f>
        <v>6729.8899999999994</v>
      </c>
      <c r="C13">
        <f>SUMIF(Dataset!$A$2:$A$201,A13,Dataset!$I$2:$I$201)</f>
        <v>2507.1799999999998</v>
      </c>
      <c r="D13">
        <f>COUNTIF(Dataset!$A$2:$A$201,A13)</f>
        <v>6</v>
      </c>
      <c r="E13">
        <f t="shared" si="0"/>
        <v>12</v>
      </c>
      <c r="F13" t="str">
        <f t="shared" si="1"/>
        <v>STANDARD</v>
      </c>
      <c r="G13" t="str">
        <f t="shared" si="2"/>
        <v>CUST014</v>
      </c>
      <c r="H13">
        <f t="shared" si="3"/>
        <v>6729.8899999999994</v>
      </c>
    </row>
    <row r="14" spans="1:8" x14ac:dyDescent="0.25">
      <c r="A14" t="s">
        <v>54</v>
      </c>
      <c r="B14">
        <f>SUMIF(Dataset!$A$2:$A$201,A14,Dataset!$E$2:$E$201)</f>
        <v>6716.52</v>
      </c>
      <c r="C14">
        <f>SUMIF(Dataset!$A$2:$A$201,A14,Dataset!$I$2:$I$201)</f>
        <v>2327.84</v>
      </c>
      <c r="D14">
        <f>COUNTIF(Dataset!$A$2:$A$201,A14)</f>
        <v>6</v>
      </c>
      <c r="E14">
        <f t="shared" si="0"/>
        <v>13</v>
      </c>
      <c r="F14" t="str">
        <f t="shared" si="1"/>
        <v>STANDARD</v>
      </c>
      <c r="G14" t="str">
        <f t="shared" si="2"/>
        <v>CUST025</v>
      </c>
      <c r="H14">
        <f t="shared" si="3"/>
        <v>6716.52</v>
      </c>
    </row>
    <row r="15" spans="1:8" x14ac:dyDescent="0.25">
      <c r="A15" t="s">
        <v>19</v>
      </c>
      <c r="B15">
        <f>SUMIF(Dataset!$A$2:$A$201,A15,Dataset!$E$2:$E$201)</f>
        <v>6666.130000000001</v>
      </c>
      <c r="C15">
        <f>SUMIF(Dataset!$A$2:$A$201,A15,Dataset!$I$2:$I$201)</f>
        <v>1982.3899999999999</v>
      </c>
      <c r="D15">
        <f>COUNTIF(Dataset!$A$2:$A$201,A15)</f>
        <v>6</v>
      </c>
      <c r="E15">
        <f t="shared" si="0"/>
        <v>14</v>
      </c>
      <c r="F15" t="str">
        <f t="shared" si="1"/>
        <v>STANDARD</v>
      </c>
      <c r="G15" t="str">
        <f t="shared" si="2"/>
        <v>CUST005</v>
      </c>
      <c r="H15">
        <f t="shared" si="3"/>
        <v>6666.130000000001</v>
      </c>
    </row>
    <row r="16" spans="1:8" x14ac:dyDescent="0.25">
      <c r="A16" t="s">
        <v>28</v>
      </c>
      <c r="B16">
        <f>SUMIF(Dataset!$A$2:$A$201,A16,Dataset!$E$2:$E$201)</f>
        <v>6549.55</v>
      </c>
      <c r="C16">
        <f>SUMIF(Dataset!$A$2:$A$201,A16,Dataset!$I$2:$I$201)</f>
        <v>1868.7700000000004</v>
      </c>
      <c r="D16">
        <f>COUNTIF(Dataset!$A$2:$A$201,A16)</f>
        <v>7</v>
      </c>
      <c r="E16">
        <f t="shared" si="0"/>
        <v>15</v>
      </c>
      <c r="F16" t="str">
        <f t="shared" si="1"/>
        <v>STANDARD</v>
      </c>
      <c r="G16" t="str">
        <f t="shared" si="2"/>
        <v>CUST001</v>
      </c>
      <c r="H16">
        <f t="shared" si="3"/>
        <v>6549.55</v>
      </c>
    </row>
    <row r="17" spans="1:8" x14ac:dyDescent="0.25">
      <c r="A17" t="s">
        <v>32</v>
      </c>
      <c r="B17">
        <f>SUMIF(Dataset!$A$2:$A$201,A17,Dataset!$E$2:$E$201)</f>
        <v>6505.2</v>
      </c>
      <c r="C17">
        <f>SUMIF(Dataset!$A$2:$A$201,A17,Dataset!$I$2:$I$201)</f>
        <v>2052.54</v>
      </c>
      <c r="D17">
        <f>COUNTIF(Dataset!$A$2:$A$201,A17)</f>
        <v>7</v>
      </c>
      <c r="E17">
        <f t="shared" si="0"/>
        <v>16</v>
      </c>
      <c r="F17" t="str">
        <f t="shared" si="1"/>
        <v>STANDARD</v>
      </c>
      <c r="G17" t="str">
        <f t="shared" si="2"/>
        <v>CUST009</v>
      </c>
      <c r="H17">
        <f t="shared" si="3"/>
        <v>6505.2</v>
      </c>
    </row>
    <row r="18" spans="1:8" x14ac:dyDescent="0.25">
      <c r="A18" t="s">
        <v>65</v>
      </c>
      <c r="B18">
        <f>SUMIF(Dataset!$A$2:$A$201,A18,Dataset!$E$2:$E$201)</f>
        <v>6481.43</v>
      </c>
      <c r="C18">
        <f>SUMIF(Dataset!$A$2:$A$201,A18,Dataset!$I$2:$I$201)</f>
        <v>2210.7399999999998</v>
      </c>
      <c r="D18">
        <f>COUNTIF(Dataset!$A$2:$A$201,A18)</f>
        <v>6</v>
      </c>
      <c r="E18">
        <f t="shared" si="0"/>
        <v>17</v>
      </c>
      <c r="F18" t="str">
        <f t="shared" si="1"/>
        <v>STANDARD</v>
      </c>
      <c r="G18" t="str">
        <f t="shared" si="2"/>
        <v>CUST002</v>
      </c>
      <c r="H18">
        <f t="shared" si="3"/>
        <v>6481.43</v>
      </c>
    </row>
    <row r="19" spans="1:8" x14ac:dyDescent="0.25">
      <c r="A19" t="s">
        <v>40</v>
      </c>
      <c r="B19">
        <f>SUMIF(Dataset!$A$2:$A$201,A19,Dataset!$E$2:$E$201)</f>
        <v>5913.68</v>
      </c>
      <c r="C19">
        <f>SUMIF(Dataset!$A$2:$A$201,A19,Dataset!$I$2:$I$201)</f>
        <v>2198.62</v>
      </c>
      <c r="D19">
        <f>COUNTIF(Dataset!$A$2:$A$201,A19)</f>
        <v>7</v>
      </c>
      <c r="E19">
        <f t="shared" si="0"/>
        <v>18</v>
      </c>
      <c r="F19" t="str">
        <f t="shared" si="1"/>
        <v>STANDARD</v>
      </c>
      <c r="G19" t="str">
        <f t="shared" si="2"/>
        <v>CUST023</v>
      </c>
      <c r="H19">
        <f t="shared" si="3"/>
        <v>5913.68</v>
      </c>
    </row>
    <row r="20" spans="1:8" x14ac:dyDescent="0.25">
      <c r="A20" t="s">
        <v>41</v>
      </c>
      <c r="B20">
        <f>SUMIF(Dataset!$A$2:$A$201,A20,Dataset!$E$2:$E$201)</f>
        <v>5779.05</v>
      </c>
      <c r="C20">
        <f>SUMIF(Dataset!$A$2:$A$201,A20,Dataset!$I$2:$I$201)</f>
        <v>1611.6599999999999</v>
      </c>
      <c r="D20">
        <f>COUNTIF(Dataset!$A$2:$A$201,A20)</f>
        <v>7</v>
      </c>
      <c r="E20">
        <f t="shared" si="0"/>
        <v>19</v>
      </c>
      <c r="F20" t="str">
        <f t="shared" si="1"/>
        <v>STANDARD</v>
      </c>
      <c r="G20" t="str">
        <f t="shared" si="2"/>
        <v>CUST029</v>
      </c>
      <c r="H20">
        <f t="shared" si="3"/>
        <v>5779.05</v>
      </c>
    </row>
    <row r="21" spans="1:8" x14ac:dyDescent="0.25">
      <c r="A21" t="s">
        <v>75</v>
      </c>
      <c r="B21">
        <f>SUMIF(Dataset!$A$2:$A$201,A21,Dataset!$E$2:$E$201)</f>
        <v>4951.8899999999994</v>
      </c>
      <c r="C21">
        <f>SUMIF(Dataset!$A$2:$A$201,A21,Dataset!$I$2:$I$201)</f>
        <v>1821.6399999999999</v>
      </c>
      <c r="D21">
        <f>COUNTIF(Dataset!$A$2:$A$201,A21)</f>
        <v>5</v>
      </c>
      <c r="E21">
        <f t="shared" si="0"/>
        <v>20</v>
      </c>
      <c r="F21" t="str">
        <f t="shared" si="1"/>
        <v>STANDARD</v>
      </c>
      <c r="G21" t="str">
        <f t="shared" si="2"/>
        <v>CUST018</v>
      </c>
      <c r="H21">
        <f t="shared" si="3"/>
        <v>4951.8899999999994</v>
      </c>
    </row>
    <row r="22" spans="1:8" x14ac:dyDescent="0.25">
      <c r="A22" t="s">
        <v>9</v>
      </c>
      <c r="B22">
        <f>SUMIF(Dataset!$A$2:$A$201,A22,Dataset!$E$2:$E$201)</f>
        <v>4640.1099999999997</v>
      </c>
      <c r="C22">
        <f>SUMIF(Dataset!$A$2:$A$201,A22,Dataset!$I$2:$I$201)</f>
        <v>1721.12</v>
      </c>
      <c r="D22">
        <f>COUNTIF(Dataset!$A$2:$A$201,A22)</f>
        <v>5</v>
      </c>
      <c r="E22">
        <f t="shared" si="0"/>
        <v>21</v>
      </c>
      <c r="F22" t="str">
        <f t="shared" si="1"/>
        <v>STANDARD</v>
      </c>
      <c r="G22" t="str">
        <f t="shared" si="2"/>
        <v>CUST019</v>
      </c>
      <c r="H22">
        <f t="shared" si="3"/>
        <v>4640.1099999999997</v>
      </c>
    </row>
    <row r="23" spans="1:8" x14ac:dyDescent="0.25">
      <c r="A23" t="s">
        <v>49</v>
      </c>
      <c r="B23">
        <f>SUMIF(Dataset!$A$2:$A$201,A23,Dataset!$E$2:$E$201)</f>
        <v>4418.2800000000007</v>
      </c>
      <c r="C23">
        <f>SUMIF(Dataset!$A$2:$A$201,A23,Dataset!$I$2:$I$201)</f>
        <v>1605.23</v>
      </c>
      <c r="D23">
        <f>COUNTIF(Dataset!$A$2:$A$201,A23)</f>
        <v>5</v>
      </c>
      <c r="E23">
        <f t="shared" si="0"/>
        <v>22</v>
      </c>
      <c r="F23" t="str">
        <f t="shared" si="1"/>
        <v>STANDARD</v>
      </c>
      <c r="G23" t="str">
        <f t="shared" si="2"/>
        <v>CUST022</v>
      </c>
      <c r="H23">
        <f t="shared" si="3"/>
        <v>4418.2800000000007</v>
      </c>
    </row>
    <row r="24" spans="1:8" x14ac:dyDescent="0.25">
      <c r="A24" t="s">
        <v>68</v>
      </c>
      <c r="B24">
        <f>SUMIF(Dataset!$A$2:$A$201,A24,Dataset!$E$2:$E$201)</f>
        <v>4413.71</v>
      </c>
      <c r="C24">
        <f>SUMIF(Dataset!$A$2:$A$201,A24,Dataset!$I$2:$I$201)</f>
        <v>1664.79</v>
      </c>
      <c r="D24">
        <f>COUNTIF(Dataset!$A$2:$A$201,A24)</f>
        <v>4</v>
      </c>
      <c r="E24">
        <f t="shared" si="0"/>
        <v>23</v>
      </c>
      <c r="F24" t="str">
        <f t="shared" si="1"/>
        <v>STANDARD</v>
      </c>
      <c r="G24" t="str">
        <f t="shared" si="2"/>
        <v>CUST020</v>
      </c>
      <c r="H24">
        <f t="shared" si="3"/>
        <v>4413.71</v>
      </c>
    </row>
    <row r="25" spans="1:8" x14ac:dyDescent="0.25">
      <c r="A25" t="s">
        <v>35</v>
      </c>
      <c r="B25">
        <f>SUMIF(Dataset!$A$2:$A$201,A25,Dataset!$E$2:$E$201)</f>
        <v>4259.22</v>
      </c>
      <c r="C25">
        <f>SUMIF(Dataset!$A$2:$A$201,A25,Dataset!$I$2:$I$201)</f>
        <v>1529.32</v>
      </c>
      <c r="D25">
        <f>COUNTIF(Dataset!$A$2:$A$201,A25)</f>
        <v>5</v>
      </c>
      <c r="E25">
        <f t="shared" si="0"/>
        <v>24</v>
      </c>
      <c r="F25" t="str">
        <f t="shared" si="1"/>
        <v>STANDARD</v>
      </c>
      <c r="G25" t="str">
        <f t="shared" si="2"/>
        <v>CUST010</v>
      </c>
      <c r="H25">
        <f t="shared" si="3"/>
        <v>4259.22</v>
      </c>
    </row>
    <row r="26" spans="1:8" x14ac:dyDescent="0.25">
      <c r="A26" t="s">
        <v>73</v>
      </c>
      <c r="B26">
        <f>SUMIF(Dataset!$A$2:$A$201,A26,Dataset!$E$2:$E$201)</f>
        <v>4162.4400000000005</v>
      </c>
      <c r="C26">
        <f>SUMIF(Dataset!$A$2:$A$201,A26,Dataset!$I$2:$I$201)</f>
        <v>1605.11</v>
      </c>
      <c r="D26">
        <f>COUNTIF(Dataset!$A$2:$A$201,A26)</f>
        <v>4</v>
      </c>
      <c r="E26">
        <f t="shared" si="0"/>
        <v>25</v>
      </c>
      <c r="F26" t="str">
        <f t="shared" si="1"/>
        <v>STANDARD</v>
      </c>
      <c r="G26" t="str">
        <f t="shared" si="2"/>
        <v>CUST013</v>
      </c>
      <c r="H26">
        <f t="shared" si="3"/>
        <v>4162.4400000000005</v>
      </c>
    </row>
    <row r="27" spans="1:8" x14ac:dyDescent="0.25">
      <c r="A27" t="s">
        <v>74</v>
      </c>
      <c r="B27">
        <f>SUMIF(Dataset!$A$2:$A$201,A27,Dataset!$E$2:$E$201)</f>
        <v>3906.04</v>
      </c>
      <c r="C27">
        <f>SUMIF(Dataset!$A$2:$A$201,A27,Dataset!$I$2:$I$201)</f>
        <v>1240.6500000000001</v>
      </c>
      <c r="D27">
        <f>COUNTIF(Dataset!$A$2:$A$201,A27)</f>
        <v>5</v>
      </c>
      <c r="E27">
        <f t="shared" si="0"/>
        <v>26</v>
      </c>
      <c r="F27" t="str">
        <f t="shared" si="1"/>
        <v>STANDARD</v>
      </c>
      <c r="G27" t="str">
        <f t="shared" si="2"/>
        <v>CUST027</v>
      </c>
      <c r="H27">
        <f t="shared" si="3"/>
        <v>3906.04</v>
      </c>
    </row>
    <row r="28" spans="1:8" x14ac:dyDescent="0.25">
      <c r="A28" t="s">
        <v>63</v>
      </c>
      <c r="B28">
        <f>SUMIF(Dataset!$A$2:$A$201,A28,Dataset!$E$2:$E$201)</f>
        <v>3762.2900000000004</v>
      </c>
      <c r="C28">
        <f>SUMIF(Dataset!$A$2:$A$201,A28,Dataset!$I$2:$I$201)</f>
        <v>1545.04</v>
      </c>
      <c r="D28">
        <f>COUNTIF(Dataset!$A$2:$A$201,A28)</f>
        <v>4</v>
      </c>
      <c r="E28">
        <f t="shared" si="0"/>
        <v>27</v>
      </c>
      <c r="F28" t="str">
        <f t="shared" si="1"/>
        <v>STANDARD</v>
      </c>
      <c r="G28" t="str">
        <f t="shared" si="2"/>
        <v>CUST011</v>
      </c>
      <c r="H28">
        <f t="shared" si="3"/>
        <v>3762.2900000000004</v>
      </c>
    </row>
    <row r="29" spans="1:8" x14ac:dyDescent="0.25">
      <c r="A29" t="s">
        <v>16</v>
      </c>
      <c r="B29">
        <f>SUMIF(Dataset!$A$2:$A$201,A29,Dataset!$E$2:$E$201)</f>
        <v>3419.2</v>
      </c>
      <c r="C29">
        <f>SUMIF(Dataset!$A$2:$A$201,A29,Dataset!$I$2:$I$201)</f>
        <v>1257.21</v>
      </c>
      <c r="D29">
        <f>COUNTIF(Dataset!$A$2:$A$201,A29)</f>
        <v>4</v>
      </c>
      <c r="E29">
        <f t="shared" si="0"/>
        <v>28</v>
      </c>
      <c r="F29" t="str">
        <f t="shared" si="1"/>
        <v>STANDARD</v>
      </c>
      <c r="G29" t="str">
        <f t="shared" si="2"/>
        <v>CUST017</v>
      </c>
      <c r="H29">
        <f t="shared" si="3"/>
        <v>3419.2</v>
      </c>
    </row>
    <row r="30" spans="1:8" x14ac:dyDescent="0.25">
      <c r="A30" t="s">
        <v>60</v>
      </c>
      <c r="B30">
        <f>SUMIF(Dataset!$A$2:$A$201,A30,Dataset!$E$2:$E$201)</f>
        <v>3369.17</v>
      </c>
      <c r="C30">
        <f>SUMIF(Dataset!$A$2:$A$201,A30,Dataset!$I$2:$I$201)</f>
        <v>1497.25</v>
      </c>
      <c r="D30">
        <f>COUNTIF(Dataset!$A$2:$A$201,A30)</f>
        <v>4</v>
      </c>
      <c r="E30">
        <f t="shared" si="0"/>
        <v>29</v>
      </c>
      <c r="F30" t="str">
        <f t="shared" si="1"/>
        <v>STANDARD</v>
      </c>
      <c r="G30" t="str">
        <f t="shared" si="2"/>
        <v>CUST016</v>
      </c>
      <c r="H30">
        <f t="shared" si="3"/>
        <v>3369.17</v>
      </c>
    </row>
    <row r="31" spans="1:8" x14ac:dyDescent="0.25">
      <c r="A31" t="s">
        <v>46</v>
      </c>
      <c r="B31">
        <f>SUMIF(Dataset!$A$2:$A$201,A31,Dataset!$E$2:$E$201)</f>
        <v>2699.75</v>
      </c>
      <c r="C31">
        <f>SUMIF(Dataset!$A$2:$A$201,A31,Dataset!$I$2:$I$201)</f>
        <v>837.06</v>
      </c>
      <c r="D31">
        <f>COUNTIF(Dataset!$A$2:$A$201,A31)</f>
        <v>2</v>
      </c>
      <c r="E31">
        <f t="shared" si="0"/>
        <v>30</v>
      </c>
      <c r="F31" t="str">
        <f t="shared" si="1"/>
        <v>STANDARD</v>
      </c>
      <c r="G31" t="str">
        <f t="shared" si="2"/>
        <v>CUST006</v>
      </c>
      <c r="H31">
        <f t="shared" si="3"/>
        <v>2699.75</v>
      </c>
    </row>
  </sheetData>
  <conditionalFormatting sqref="A2:H31">
    <cfRule type="expression" dxfId="0" priority="1">
      <formula>$E2&lt;=10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27" customWidth="1"/>
    <col min="2" max="2" width="25" customWidth="1"/>
    <col min="3" max="3" width="84" customWidth="1"/>
  </cols>
  <sheetData>
    <row r="1" spans="1:3" ht="30" customHeight="1" x14ac:dyDescent="0.25">
      <c r="A1" s="8" t="s">
        <v>89</v>
      </c>
      <c r="B1" s="8" t="s">
        <v>90</v>
      </c>
      <c r="C1" s="8" t="s">
        <v>91</v>
      </c>
    </row>
    <row r="2" spans="1:3" x14ac:dyDescent="0.25">
      <c r="A2" t="s">
        <v>92</v>
      </c>
      <c r="B2">
        <f>SUM(Dataset!E2:E201)</f>
        <v>195217.75999999992</v>
      </c>
      <c r="C2" t="s">
        <v>93</v>
      </c>
    </row>
    <row r="3" spans="1:3" x14ac:dyDescent="0.25">
      <c r="A3" t="s">
        <v>94</v>
      </c>
      <c r="B3">
        <f>SUM(Dataset!I2:I201)</f>
        <v>68287.010000000009</v>
      </c>
      <c r="C3" t="s">
        <v>95</v>
      </c>
    </row>
    <row r="4" spans="1:3" x14ac:dyDescent="0.25">
      <c r="A4" t="s">
        <v>96</v>
      </c>
      <c r="B4" s="10">
        <v>0.1</v>
      </c>
      <c r="C4" t="s">
        <v>97</v>
      </c>
    </row>
    <row r="5" spans="1:3" x14ac:dyDescent="0.25">
      <c r="A5" t="s">
        <v>98</v>
      </c>
      <c r="B5">
        <f>SUM(Dataset!J2:J201)</f>
        <v>68037.991500000018</v>
      </c>
      <c r="C5" t="s">
        <v>99</v>
      </c>
    </row>
    <row r="6" spans="1:3" x14ac:dyDescent="0.25">
      <c r="A6" t="s">
        <v>100</v>
      </c>
      <c r="B6">
        <f>B5-B3</f>
        <v>-249.01849999999104</v>
      </c>
      <c r="C6" t="s">
        <v>101</v>
      </c>
    </row>
    <row r="7" spans="1:3" x14ac:dyDescent="0.25">
      <c r="A7" t="s">
        <v>102</v>
      </c>
      <c r="B7" s="9">
        <f>IFERROR(B6/B3,0)</f>
        <v>-3.6466452404343226E-3</v>
      </c>
      <c r="C7" t="s">
        <v>103</v>
      </c>
    </row>
    <row r="10" spans="1:3" x14ac:dyDescent="0.25">
      <c r="A10" t="s">
        <v>104</v>
      </c>
      <c r="B10" t="s">
        <v>105</v>
      </c>
      <c r="C10" t="s">
        <v>106</v>
      </c>
    </row>
    <row r="11" spans="1:3" x14ac:dyDescent="0.25">
      <c r="A11" s="6">
        <v>0</v>
      </c>
      <c r="B11">
        <f>$B$3+SUMPRODUCT(Dataset!$E$2:$E$201,Dataset!$G$2:$G$201-A11)</f>
        <v>87559.767500000016</v>
      </c>
      <c r="C11">
        <f t="shared" ref="C11:C16" si="0">B11-$B$3</f>
        <v>19272.757500000007</v>
      </c>
    </row>
    <row r="12" spans="1:3" x14ac:dyDescent="0.25">
      <c r="A12" s="6">
        <v>0.05</v>
      </c>
      <c r="B12">
        <f>$B$3+SUMPRODUCT(Dataset!$E$2:$E$201,Dataset!$G$2:$G$201-A12)</f>
        <v>77798.87950000001</v>
      </c>
      <c r="C12">
        <f t="shared" si="0"/>
        <v>9511.8695000000007</v>
      </c>
    </row>
    <row r="13" spans="1:3" x14ac:dyDescent="0.25">
      <c r="A13" s="6">
        <v>0.1</v>
      </c>
      <c r="B13">
        <f>$B$3+SUMPRODUCT(Dataset!$E$2:$E$201,Dataset!$G$2:$G$201-A13)</f>
        <v>68037.991500000004</v>
      </c>
      <c r="C13">
        <f t="shared" si="0"/>
        <v>-249.01850000000559</v>
      </c>
    </row>
    <row r="14" spans="1:3" x14ac:dyDescent="0.25">
      <c r="A14" s="6">
        <v>0.15</v>
      </c>
      <c r="B14">
        <f>$B$3+SUMPRODUCT(Dataset!$E$2:$E$201,Dataset!$G$2:$G$201-A14)</f>
        <v>58277.103500000012</v>
      </c>
      <c r="C14">
        <f t="shared" si="0"/>
        <v>-10009.906499999997</v>
      </c>
    </row>
    <row r="15" spans="1:3" x14ac:dyDescent="0.25">
      <c r="A15" s="6">
        <v>0.2</v>
      </c>
      <c r="B15">
        <f>$B$3+SUMPRODUCT(Dataset!$E$2:$E$201,Dataset!$G$2:$G$201-A15)</f>
        <v>48516.215500000006</v>
      </c>
      <c r="C15">
        <f t="shared" si="0"/>
        <v>-19770.794500000004</v>
      </c>
    </row>
    <row r="16" spans="1:3" x14ac:dyDescent="0.25">
      <c r="A16" s="6">
        <v>0.25</v>
      </c>
      <c r="B16">
        <f>$B$3+SUMPRODUCT(Dataset!$E$2:$E$201,Dataset!$G$2:$G$201-A16)</f>
        <v>38755.327499999999</v>
      </c>
      <c r="C16">
        <f t="shared" si="0"/>
        <v>-29531.68250000001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5" customWidth="1"/>
    <col min="2" max="5" width="20" customWidth="1"/>
  </cols>
  <sheetData>
    <row r="1" spans="1:5" ht="30" customHeight="1" x14ac:dyDescent="0.25">
      <c r="A1" s="8" t="s">
        <v>107</v>
      </c>
      <c r="B1" s="8" t="s">
        <v>108</v>
      </c>
      <c r="C1" s="8" t="s">
        <v>109</v>
      </c>
      <c r="D1" s="8" t="s">
        <v>110</v>
      </c>
      <c r="E1" s="8" t="s">
        <v>111</v>
      </c>
    </row>
    <row r="2" spans="1:5" x14ac:dyDescent="0.25">
      <c r="A2" t="s">
        <v>112</v>
      </c>
      <c r="B2">
        <f>COUNT(Dataset!E2:E201)</f>
        <v>200</v>
      </c>
      <c r="C2">
        <f>COUNT(Dataset!I2:I201)</f>
        <v>200</v>
      </c>
      <c r="D2">
        <f>COUNT(Dataset!G2:G201)</f>
        <v>200</v>
      </c>
      <c r="E2">
        <f>COUNT(Dataset!F2:F201)</f>
        <v>200</v>
      </c>
    </row>
    <row r="3" spans="1:5" x14ac:dyDescent="0.25">
      <c r="A3" t="s">
        <v>113</v>
      </c>
      <c r="B3">
        <f>SUM(Dataset!E2:E201)</f>
        <v>195217.75999999992</v>
      </c>
      <c r="C3">
        <f>SUM(Dataset!I2:I201)</f>
        <v>68287.010000000009</v>
      </c>
      <c r="D3">
        <f>SUM(Dataset!G2:G201)</f>
        <v>19.45</v>
      </c>
      <c r="E3">
        <f>SUM(Dataset!F2:F201)</f>
        <v>1999</v>
      </c>
    </row>
    <row r="4" spans="1:5" x14ac:dyDescent="0.25">
      <c r="A4" t="s">
        <v>114</v>
      </c>
      <c r="B4">
        <f>AVERAGE(Dataset!E2:E201)</f>
        <v>976.08879999999965</v>
      </c>
      <c r="C4">
        <f>AVERAGE(Dataset!I2:I201)</f>
        <v>341.43505000000005</v>
      </c>
      <c r="D4">
        <f>AVERAGE(Dataset!G2:G201)</f>
        <v>9.7250000000000003E-2</v>
      </c>
      <c r="E4">
        <f>AVERAGE(Dataset!F2:F201)</f>
        <v>9.9949999999999992</v>
      </c>
    </row>
    <row r="5" spans="1:5" x14ac:dyDescent="0.25">
      <c r="A5" t="s">
        <v>115</v>
      </c>
      <c r="B5">
        <f>MEDIAN(Dataset!E2:E201)</f>
        <v>976.72</v>
      </c>
      <c r="C5">
        <f>MEDIAN(Dataset!I2:I201)</f>
        <v>332.255</v>
      </c>
      <c r="D5">
        <f>MEDIAN(Dataset!G2:G201)</f>
        <v>0.1</v>
      </c>
      <c r="E5">
        <f>MEDIAN(Dataset!F2:F201)</f>
        <v>10</v>
      </c>
    </row>
    <row r="6" spans="1:5" x14ac:dyDescent="0.25">
      <c r="A6" t="s">
        <v>116</v>
      </c>
      <c r="B6">
        <f>MIN(Dataset!E2:E201)</f>
        <v>258.51</v>
      </c>
      <c r="C6">
        <f>MIN(Dataset!I2:I201)</f>
        <v>64.63</v>
      </c>
      <c r="D6">
        <f>MIN(Dataset!G2:G201)</f>
        <v>0</v>
      </c>
      <c r="E6">
        <f>MIN(Dataset!F2:F201)</f>
        <v>1</v>
      </c>
    </row>
    <row r="7" spans="1:5" x14ac:dyDescent="0.25">
      <c r="A7" t="s">
        <v>117</v>
      </c>
      <c r="B7">
        <f>MAX(Dataset!E2:E201)</f>
        <v>1923.66</v>
      </c>
      <c r="C7">
        <f>MAX(Dataset!I2:I201)</f>
        <v>769.46</v>
      </c>
      <c r="D7">
        <f>MAX(Dataset!G2:G201)</f>
        <v>0.2</v>
      </c>
      <c r="E7">
        <f>MAX(Dataset!F2:F201)</f>
        <v>19</v>
      </c>
    </row>
    <row r="8" spans="1:5" x14ac:dyDescent="0.25">
      <c r="A8" t="s">
        <v>118</v>
      </c>
      <c r="B8">
        <f>_xlfn.STDEV.S(Dataset!E2:E201)</f>
        <v>299.27375909856431</v>
      </c>
      <c r="C8">
        <f>_xlfn.STDEV.S(Dataset!I2:I201)</f>
        <v>135.7661940552168</v>
      </c>
      <c r="D8">
        <f>_xlfn.STDEV.S(Dataset!G2:G201)</f>
        <v>7.232629511335488E-2</v>
      </c>
      <c r="E8">
        <f>_xlfn.STDEV.S(Dataset!F2:F201)</f>
        <v>5.6466270449645082</v>
      </c>
    </row>
    <row r="9" spans="1:5" x14ac:dyDescent="0.25">
      <c r="A9" t="s">
        <v>119</v>
      </c>
      <c r="B9">
        <f>_xlfn.VAR.S(Dataset!E2:E201)</f>
        <v>89564.782884985514</v>
      </c>
      <c r="C9">
        <f>_xlfn.VAR.S(Dataset!I2:I201)</f>
        <v>18432.459448238787</v>
      </c>
      <c r="D9">
        <f>_xlfn.VAR.S(Dataset!G2:G201)</f>
        <v>5.2310929648241022E-3</v>
      </c>
      <c r="E9">
        <f>_xlfn.VAR.S(Dataset!F2:F201)</f>
        <v>31.884396984924617</v>
      </c>
    </row>
    <row r="10" spans="1:5" x14ac:dyDescent="0.25">
      <c r="A10" t="s">
        <v>120</v>
      </c>
      <c r="B10">
        <f>_xlfn.PERCENTILE.INC(Dataset!E2:E201,0.25)</f>
        <v>761.83749999999998</v>
      </c>
      <c r="C10">
        <f>_xlfn.PERCENTILE.INC(Dataset!I2:I201,0.25)</f>
        <v>240.8425</v>
      </c>
      <c r="D10">
        <f>_xlfn.PERCENTILE.INC(Dataset!G2:G201,0.25)</f>
        <v>0.05</v>
      </c>
      <c r="E10">
        <f>_xlfn.PERCENTILE.INC(Dataset!F2:F201,0.25)</f>
        <v>5</v>
      </c>
    </row>
    <row r="11" spans="1:5" x14ac:dyDescent="0.25">
      <c r="A11" t="s">
        <v>121</v>
      </c>
      <c r="B11">
        <f>_xlfn.PERCENTILE.INC(Dataset!E2:E201,0.75)</f>
        <v>1173.0074999999999</v>
      </c>
      <c r="C11">
        <f>_xlfn.PERCENTILE.INC(Dataset!I2:I201,0.75)</f>
        <v>440.03750000000002</v>
      </c>
      <c r="D11">
        <f>_xlfn.PERCENTILE.INC(Dataset!G2:G201,0.75)</f>
        <v>0.15</v>
      </c>
      <c r="E11">
        <f>_xlfn.PERCENTILE.INC(Dataset!F2:F201,0.75)</f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28" customWidth="1"/>
    <col min="3" max="3" width="75" customWidth="1"/>
  </cols>
  <sheetData>
    <row r="1" spans="1:3" ht="30" customHeight="1" x14ac:dyDescent="0.25">
      <c r="A1" s="8" t="s">
        <v>122</v>
      </c>
      <c r="B1" s="8" t="s">
        <v>90</v>
      </c>
      <c r="C1" s="8" t="s">
        <v>123</v>
      </c>
    </row>
    <row r="2" spans="1:3" x14ac:dyDescent="0.25">
      <c r="A2" t="s">
        <v>124</v>
      </c>
      <c r="B2">
        <v>200</v>
      </c>
      <c r="C2" t="s">
        <v>125</v>
      </c>
    </row>
    <row r="3" spans="1:3" x14ac:dyDescent="0.25">
      <c r="A3" t="s">
        <v>126</v>
      </c>
      <c r="B3">
        <v>0.35085598819512231</v>
      </c>
      <c r="C3" t="s">
        <v>127</v>
      </c>
    </row>
    <row r="4" spans="1:3" x14ac:dyDescent="0.25">
      <c r="A4" t="s">
        <v>128</v>
      </c>
      <c r="B4">
        <v>-1.0315504901911368</v>
      </c>
      <c r="C4" t="s">
        <v>129</v>
      </c>
    </row>
    <row r="5" spans="1:3" x14ac:dyDescent="0.25">
      <c r="A5" t="s">
        <v>130</v>
      </c>
      <c r="B5" s="11">
        <v>0.59815229962644056</v>
      </c>
      <c r="C5" t="s">
        <v>131</v>
      </c>
    </row>
    <row r="6" spans="1:3" x14ac:dyDescent="0.25">
      <c r="A6" t="s">
        <v>132</v>
      </c>
      <c r="B6">
        <v>0.77340306414342619</v>
      </c>
      <c r="C6" t="s">
        <v>133</v>
      </c>
    </row>
    <row r="7" spans="1:3" x14ac:dyDescent="0.25">
      <c r="A7" t="s">
        <v>134</v>
      </c>
      <c r="B7">
        <v>86.281230529665137</v>
      </c>
      <c r="C7" t="s">
        <v>135</v>
      </c>
    </row>
    <row r="8" spans="1:3" x14ac:dyDescent="0.25">
      <c r="A8" t="s">
        <v>136</v>
      </c>
      <c r="B8">
        <v>17.167527028535044</v>
      </c>
      <c r="C8" t="s">
        <v>137</v>
      </c>
    </row>
    <row r="9" spans="1:3" x14ac:dyDescent="0.25">
      <c r="A9" t="s">
        <v>138</v>
      </c>
      <c r="B9" t="s">
        <v>139</v>
      </c>
      <c r="C9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20" customWidth="1"/>
    <col min="4" max="4" width="14" customWidth="1"/>
    <col min="5" max="5" width="19" customWidth="1"/>
    <col min="6" max="6" width="18" customWidth="1"/>
    <col min="7" max="7" width="25" customWidth="1"/>
  </cols>
  <sheetData>
    <row r="1" spans="1:7" ht="30" customHeight="1" x14ac:dyDescent="0.25">
      <c r="A1" s="8" t="s">
        <v>77</v>
      </c>
      <c r="B1" s="8" t="s">
        <v>82</v>
      </c>
      <c r="C1" s="8" t="s">
        <v>83</v>
      </c>
      <c r="D1" s="8" t="s">
        <v>84</v>
      </c>
      <c r="E1" s="8" t="s">
        <v>141</v>
      </c>
      <c r="F1" s="8" t="s">
        <v>142</v>
      </c>
      <c r="G1" s="8" t="s">
        <v>143</v>
      </c>
    </row>
    <row r="2" spans="1:7" x14ac:dyDescent="0.25">
      <c r="A2" t="s">
        <v>144</v>
      </c>
      <c r="B2">
        <f>SUMIF(Dataset!$L$2:$L$201,A2,Dataset!$E$2:$E$201)</f>
        <v>19029.96</v>
      </c>
      <c r="C2">
        <f>SUMIF(Dataset!$L$2:$L$201,A2,Dataset!$I$2:$I$201)</f>
        <v>6244.01</v>
      </c>
      <c r="D2">
        <f>COUNTIF(Dataset!$L$2:$L$201,A2)</f>
        <v>19</v>
      </c>
      <c r="E2" s="12">
        <f>0</f>
        <v>0</v>
      </c>
      <c r="F2" t="str">
        <f t="shared" ref="F2:F14" si="0">IF(E2&gt;0,"▲ UP",IF(E2&lt;0,"▼ DOWN","— FLAT"))</f>
        <v>— FLAT</v>
      </c>
      <c r="G2" s="5">
        <f t="shared" ref="G2:G14" ca="1" si="1">NOW()</f>
        <v>46324.534849537034</v>
      </c>
    </row>
    <row r="3" spans="1:7" x14ac:dyDescent="0.25">
      <c r="A3" t="s">
        <v>145</v>
      </c>
      <c r="B3">
        <f>SUMIF(Dataset!$L$2:$L$201,A3,Dataset!$E$2:$E$201)</f>
        <v>18507.339999999997</v>
      </c>
      <c r="C3">
        <f>SUMIF(Dataset!$L$2:$L$201,A3,Dataset!$I$2:$I$201)</f>
        <v>6121.3499999999995</v>
      </c>
      <c r="D3">
        <f>COUNTIF(Dataset!$L$2:$L$201,A3)</f>
        <v>21</v>
      </c>
      <c r="E3" s="12">
        <f t="shared" ref="E3:E14" si="2">IFERROR(B3/B2-1,0)</f>
        <v>-2.7463010957458844E-2</v>
      </c>
      <c r="F3" t="str">
        <f t="shared" si="0"/>
        <v>▼ DOWN</v>
      </c>
      <c r="G3" s="5">
        <f t="shared" ca="1" si="1"/>
        <v>46324.534849537034</v>
      </c>
    </row>
    <row r="4" spans="1:7" x14ac:dyDescent="0.25">
      <c r="A4" t="s">
        <v>146</v>
      </c>
      <c r="B4">
        <f>SUMIF(Dataset!$L$2:$L$201,A4,Dataset!$E$2:$E$201)</f>
        <v>20187.509999999998</v>
      </c>
      <c r="C4">
        <f>SUMIF(Dataset!$L$2:$L$201,A4,Dataset!$I$2:$I$201)</f>
        <v>6918</v>
      </c>
      <c r="D4">
        <f>COUNTIF(Dataset!$L$2:$L$201,A4)</f>
        <v>20</v>
      </c>
      <c r="E4" s="12">
        <f t="shared" si="2"/>
        <v>9.0783980842195744E-2</v>
      </c>
      <c r="F4" t="str">
        <f t="shared" si="0"/>
        <v>▲ UP</v>
      </c>
      <c r="G4" s="5">
        <f t="shared" ca="1" si="1"/>
        <v>46324.534849537034</v>
      </c>
    </row>
    <row r="5" spans="1:7" x14ac:dyDescent="0.25">
      <c r="A5" t="s">
        <v>147</v>
      </c>
      <c r="B5">
        <f>SUMIF(Dataset!$L$2:$L$201,A5,Dataset!$E$2:$E$201)</f>
        <v>11609.039999999999</v>
      </c>
      <c r="C5">
        <f>SUMIF(Dataset!$L$2:$L$201,A5,Dataset!$I$2:$I$201)</f>
        <v>3743.85</v>
      </c>
      <c r="D5">
        <f>COUNTIF(Dataset!$L$2:$L$201,A5)</f>
        <v>12</v>
      </c>
      <c r="E5" s="12">
        <f t="shared" si="2"/>
        <v>-0.42493947990614001</v>
      </c>
      <c r="F5" t="str">
        <f t="shared" si="0"/>
        <v>▼ DOWN</v>
      </c>
      <c r="G5" s="5">
        <f t="shared" ca="1" si="1"/>
        <v>46324.534849537034</v>
      </c>
    </row>
    <row r="6" spans="1:7" x14ac:dyDescent="0.25">
      <c r="A6" t="s">
        <v>148</v>
      </c>
      <c r="B6">
        <f>SUMIF(Dataset!$L$2:$L$201,A6,Dataset!$E$2:$E$201)</f>
        <v>10091.699999999999</v>
      </c>
      <c r="C6">
        <f>SUMIF(Dataset!$L$2:$L$201,A6,Dataset!$I$2:$I$201)</f>
        <v>3302.84</v>
      </c>
      <c r="D6">
        <f>COUNTIF(Dataset!$L$2:$L$201,A6)</f>
        <v>10</v>
      </c>
      <c r="E6" s="12">
        <f t="shared" si="2"/>
        <v>-0.13070331396911372</v>
      </c>
      <c r="F6" t="str">
        <f t="shared" si="0"/>
        <v>▼ DOWN</v>
      </c>
      <c r="G6" s="5">
        <f t="shared" ca="1" si="1"/>
        <v>46324.534849537034</v>
      </c>
    </row>
    <row r="7" spans="1:7" x14ac:dyDescent="0.25">
      <c r="A7" t="s">
        <v>149</v>
      </c>
      <c r="B7">
        <f>SUMIF(Dataset!$L$2:$L$201,A7,Dataset!$E$2:$E$201)</f>
        <v>20533.499999999996</v>
      </c>
      <c r="C7">
        <f>SUMIF(Dataset!$L$2:$L$201,A7,Dataset!$I$2:$I$201)</f>
        <v>7457.5199999999995</v>
      </c>
      <c r="D7">
        <f>COUNTIF(Dataset!$L$2:$L$201,A7)</f>
        <v>20</v>
      </c>
      <c r="E7" s="12">
        <f t="shared" si="2"/>
        <v>1.0346918755016499</v>
      </c>
      <c r="F7" t="str">
        <f t="shared" si="0"/>
        <v>▲ UP</v>
      </c>
      <c r="G7" s="5">
        <f t="shared" ca="1" si="1"/>
        <v>46324.534849537034</v>
      </c>
    </row>
    <row r="8" spans="1:7" x14ac:dyDescent="0.25">
      <c r="A8" t="s">
        <v>150</v>
      </c>
      <c r="B8">
        <f>SUMIF(Dataset!$L$2:$L$201,A8,Dataset!$E$2:$E$201)</f>
        <v>14215.240000000002</v>
      </c>
      <c r="C8">
        <f>SUMIF(Dataset!$L$2:$L$201,A8,Dataset!$I$2:$I$201)</f>
        <v>4861.7</v>
      </c>
      <c r="D8">
        <f>COUNTIF(Dataset!$L$2:$L$201,A8)</f>
        <v>14</v>
      </c>
      <c r="E8" s="12">
        <f t="shared" si="2"/>
        <v>-0.30770496992719198</v>
      </c>
      <c r="F8" t="str">
        <f t="shared" si="0"/>
        <v>▼ DOWN</v>
      </c>
      <c r="G8" s="5">
        <f t="shared" ca="1" si="1"/>
        <v>46324.534849537034</v>
      </c>
    </row>
    <row r="9" spans="1:7" x14ac:dyDescent="0.25">
      <c r="A9" t="s">
        <v>151</v>
      </c>
      <c r="B9">
        <f>SUMIF(Dataset!$L$2:$L$201,A9,Dataset!$E$2:$E$201)</f>
        <v>20135.030000000002</v>
      </c>
      <c r="C9">
        <f>SUMIF(Dataset!$L$2:$L$201,A9,Dataset!$I$2:$I$201)</f>
        <v>6814.8799999999992</v>
      </c>
      <c r="D9">
        <f>COUNTIF(Dataset!$L$2:$L$201,A9)</f>
        <v>20</v>
      </c>
      <c r="E9" s="12">
        <f t="shared" si="2"/>
        <v>0.41643968023051325</v>
      </c>
      <c r="F9" t="str">
        <f t="shared" si="0"/>
        <v>▲ UP</v>
      </c>
      <c r="G9" s="5">
        <f t="shared" ca="1" si="1"/>
        <v>46324.534849537034</v>
      </c>
    </row>
    <row r="10" spans="1:7" x14ac:dyDescent="0.25">
      <c r="A10" t="s">
        <v>152</v>
      </c>
      <c r="B10">
        <f>SUMIF(Dataset!$L$2:$L$201,A10,Dataset!$E$2:$E$201)</f>
        <v>11120.04</v>
      </c>
      <c r="C10">
        <f>SUMIF(Dataset!$L$2:$L$201,A10,Dataset!$I$2:$I$201)</f>
        <v>3549.99</v>
      </c>
      <c r="D10">
        <f>COUNTIF(Dataset!$L$2:$L$201,A10)</f>
        <v>11</v>
      </c>
      <c r="E10" s="12">
        <f t="shared" si="2"/>
        <v>-0.44772667336477778</v>
      </c>
      <c r="F10" t="str">
        <f t="shared" si="0"/>
        <v>▼ DOWN</v>
      </c>
      <c r="G10" s="5">
        <f t="shared" ca="1" si="1"/>
        <v>46324.534849537034</v>
      </c>
    </row>
    <row r="11" spans="1:7" x14ac:dyDescent="0.25">
      <c r="A11" t="s">
        <v>153</v>
      </c>
      <c r="B11">
        <f>SUMIF(Dataset!$L$2:$L$201,A11,Dataset!$E$2:$E$201)</f>
        <v>14914.650000000001</v>
      </c>
      <c r="C11">
        <f>SUMIF(Dataset!$L$2:$L$201,A11,Dataset!$I$2:$I$201)</f>
        <v>5763.4</v>
      </c>
      <c r="D11">
        <f>COUNTIF(Dataset!$L$2:$L$201,A11)</f>
        <v>16</v>
      </c>
      <c r="E11" s="12">
        <f t="shared" si="2"/>
        <v>0.34124067899036348</v>
      </c>
      <c r="F11" t="str">
        <f t="shared" si="0"/>
        <v>▲ UP</v>
      </c>
      <c r="G11" s="5">
        <f t="shared" ca="1" si="1"/>
        <v>46324.534849537034</v>
      </c>
    </row>
    <row r="12" spans="1:7" x14ac:dyDescent="0.25">
      <c r="A12" t="s">
        <v>154</v>
      </c>
      <c r="B12">
        <f>SUMIF(Dataset!$L$2:$L$201,A12,Dataset!$E$2:$E$201)</f>
        <v>14006.359999999999</v>
      </c>
      <c r="C12">
        <f>SUMIF(Dataset!$L$2:$L$201,A12,Dataset!$I$2:$I$201)</f>
        <v>5039.2299999999996</v>
      </c>
      <c r="D12">
        <f>COUNTIF(Dataset!$L$2:$L$201,A12)</f>
        <v>14</v>
      </c>
      <c r="E12" s="12">
        <f t="shared" si="2"/>
        <v>-6.0899183018039538E-2</v>
      </c>
      <c r="F12" t="str">
        <f t="shared" si="0"/>
        <v>▼ DOWN</v>
      </c>
      <c r="G12" s="5">
        <f t="shared" ca="1" si="1"/>
        <v>46324.534849537034</v>
      </c>
    </row>
    <row r="13" spans="1:7" x14ac:dyDescent="0.25">
      <c r="A13" t="s">
        <v>155</v>
      </c>
      <c r="B13">
        <f>SUMIF(Dataset!$L$2:$L$201,A13,Dataset!$E$2:$E$201)</f>
        <v>17655.219999999998</v>
      </c>
      <c r="C13">
        <f>SUMIF(Dataset!$L$2:$L$201,A13,Dataset!$I$2:$I$201)</f>
        <v>7071.39</v>
      </c>
      <c r="D13">
        <f>COUNTIF(Dataset!$L$2:$L$201,A13)</f>
        <v>19</v>
      </c>
      <c r="E13" s="12">
        <f t="shared" si="2"/>
        <v>0.26051450912299834</v>
      </c>
      <c r="F13" t="str">
        <f t="shared" si="0"/>
        <v>▲ UP</v>
      </c>
      <c r="G13" s="5">
        <f t="shared" ca="1" si="1"/>
        <v>46324.534849537034</v>
      </c>
    </row>
    <row r="14" spans="1:7" x14ac:dyDescent="0.25">
      <c r="A14" t="s">
        <v>156</v>
      </c>
      <c r="B14">
        <f>SUMIF(Dataset!$L$2:$L$201,A14,Dataset!$E$2:$E$201)</f>
        <v>3212.17</v>
      </c>
      <c r="C14">
        <f>SUMIF(Dataset!$L$2:$L$201,A14,Dataset!$I$2:$I$201)</f>
        <v>1398.85</v>
      </c>
      <c r="D14">
        <f>COUNTIF(Dataset!$L$2:$L$201,A14)</f>
        <v>4</v>
      </c>
      <c r="E14" s="12">
        <f t="shared" si="2"/>
        <v>-0.81806117397574196</v>
      </c>
      <c r="F14" t="str">
        <f t="shared" si="0"/>
        <v>▼ DOWN</v>
      </c>
      <c r="G14" s="5">
        <f t="shared" ca="1" si="1"/>
        <v>46324.534849537034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pane ySplit="1" topLeftCell="A2" activePane="bottomLeft" state="frozen"/>
      <selection pane="bottomLeft" activeCell="G22" sqref="A22:G31"/>
    </sheetView>
  </sheetViews>
  <sheetFormatPr defaultRowHeight="15" x14ac:dyDescent="0.25"/>
  <cols>
    <col min="1" max="1" width="25" customWidth="1"/>
    <col min="2" max="9" width="20" customWidth="1"/>
  </cols>
  <sheetData>
    <row r="1" spans="1:9" ht="30" customHeight="1" x14ac:dyDescent="0.25">
      <c r="A1" s="8" t="s">
        <v>157</v>
      </c>
      <c r="B1" s="8" t="s">
        <v>12</v>
      </c>
      <c r="C1" s="8" t="s">
        <v>15</v>
      </c>
      <c r="D1" s="8" t="s">
        <v>21</v>
      </c>
      <c r="E1" s="8" t="s">
        <v>27</v>
      </c>
      <c r="F1" s="8" t="s">
        <v>39</v>
      </c>
      <c r="G1" s="8" t="s">
        <v>158</v>
      </c>
      <c r="H1" s="8" t="s">
        <v>159</v>
      </c>
      <c r="I1" s="8" t="s">
        <v>160</v>
      </c>
    </row>
    <row r="2" spans="1:9" x14ac:dyDescent="0.25">
      <c r="A2" t="s">
        <v>34</v>
      </c>
      <c r="B2">
        <f>SUMIFS(Dataset!$E$2:$E$201,Dataset!$C$2:$C$201,$A2,Dataset!$D$2:$D$201,B$1)</f>
        <v>11297.150000000001</v>
      </c>
      <c r="C2">
        <f>SUMIFS(Dataset!$E$2:$E$201,Dataset!$C$2:$C$201,$A2,Dataset!$D$2:$D$201,C$1)</f>
        <v>12200.26</v>
      </c>
      <c r="D2">
        <f>SUMIFS(Dataset!$E$2:$E$201,Dataset!$C$2:$C$201,$A2,Dataset!$D$2:$D$201,D$1)</f>
        <v>6621.24</v>
      </c>
      <c r="E2">
        <f>SUMIFS(Dataset!$E$2:$E$201,Dataset!$C$2:$C$201,$A2,Dataset!$D$2:$D$201,E$1)</f>
        <v>4876.96</v>
      </c>
      <c r="F2">
        <f>SUMIFS(Dataset!$E$2:$E$201,Dataset!$C$2:$C$201,$A2,Dataset!$D$2:$D$201,F$1)</f>
        <v>8472.7199999999993</v>
      </c>
      <c r="G2">
        <f>SUM(B2:F2)</f>
        <v>43468.33</v>
      </c>
      <c r="H2">
        <f>SUMIF(Dataset!$C$2:$C$201,A2,Dataset!$I$2:$I$201)</f>
        <v>16068.4</v>
      </c>
      <c r="I2">
        <f>COUNTIF(Dataset!$C$2:$C$201,A2)</f>
        <v>44</v>
      </c>
    </row>
    <row r="3" spans="1:9" x14ac:dyDescent="0.25">
      <c r="A3" t="s">
        <v>18</v>
      </c>
      <c r="B3">
        <f>SUMIFS(Dataset!$E$2:$E$201,Dataset!$C$2:$C$201,$A3,Dataset!$D$2:$D$201,B$1)</f>
        <v>11389.090000000002</v>
      </c>
      <c r="C3">
        <f>SUMIFS(Dataset!$E$2:$E$201,Dataset!$C$2:$C$201,$A3,Dataset!$D$2:$D$201,C$1)</f>
        <v>2401.4499999999998</v>
      </c>
      <c r="D3">
        <f>SUMIFS(Dataset!$E$2:$E$201,Dataset!$C$2:$C$201,$A3,Dataset!$D$2:$D$201,D$1)</f>
        <v>2869.54</v>
      </c>
      <c r="E3">
        <f>SUMIFS(Dataset!$E$2:$E$201,Dataset!$C$2:$C$201,$A3,Dataset!$D$2:$D$201,E$1)</f>
        <v>7592.3399999999992</v>
      </c>
      <c r="F3">
        <f>SUMIFS(Dataset!$E$2:$E$201,Dataset!$C$2:$C$201,$A3,Dataset!$D$2:$D$201,F$1)</f>
        <v>8189.2200000000012</v>
      </c>
      <c r="G3">
        <f>SUM(B3:F3)</f>
        <v>32441.640000000003</v>
      </c>
      <c r="H3">
        <f>SUMIF(Dataset!$C$2:$C$201,A3,Dataset!$I$2:$I$201)</f>
        <v>11638.589999999997</v>
      </c>
      <c r="I3">
        <f>COUNTIF(Dataset!$C$2:$C$201,A3)</f>
        <v>32</v>
      </c>
    </row>
    <row r="4" spans="1:9" x14ac:dyDescent="0.25">
      <c r="A4" t="s">
        <v>24</v>
      </c>
      <c r="B4">
        <f>SUMIFS(Dataset!$E$2:$E$201,Dataset!$C$2:$C$201,$A4,Dataset!$D$2:$D$201,B$1)</f>
        <v>8037.0100000000011</v>
      </c>
      <c r="C4">
        <f>SUMIFS(Dataset!$E$2:$E$201,Dataset!$C$2:$C$201,$A4,Dataset!$D$2:$D$201,C$1)</f>
        <v>8422.82</v>
      </c>
      <c r="D4">
        <f>SUMIFS(Dataset!$E$2:$E$201,Dataset!$C$2:$C$201,$A4,Dataset!$D$2:$D$201,D$1)</f>
        <v>8191.7099999999991</v>
      </c>
      <c r="E4">
        <f>SUMIFS(Dataset!$E$2:$E$201,Dataset!$C$2:$C$201,$A4,Dataset!$D$2:$D$201,E$1)</f>
        <v>6978.08</v>
      </c>
      <c r="F4">
        <f>SUMIFS(Dataset!$E$2:$E$201,Dataset!$C$2:$C$201,$A4,Dataset!$D$2:$D$201,F$1)</f>
        <v>3345.8</v>
      </c>
      <c r="G4">
        <f>SUM(B4:F4)</f>
        <v>34975.420000000006</v>
      </c>
      <c r="H4">
        <f>SUMIF(Dataset!$C$2:$C$201,A4,Dataset!$I$2:$I$201)</f>
        <v>11902.279999999997</v>
      </c>
      <c r="I4">
        <f>COUNTIF(Dataset!$C$2:$C$201,A4)</f>
        <v>39</v>
      </c>
    </row>
    <row r="5" spans="1:9" x14ac:dyDescent="0.25">
      <c r="A5" t="s">
        <v>20</v>
      </c>
      <c r="B5">
        <f>SUMIFS(Dataset!$E$2:$E$201,Dataset!$C$2:$C$201,$A5,Dataset!$D$2:$D$201,B$1)</f>
        <v>9588.0400000000009</v>
      </c>
      <c r="C5">
        <f>SUMIFS(Dataset!$E$2:$E$201,Dataset!$C$2:$C$201,$A5,Dataset!$D$2:$D$201,C$1)</f>
        <v>8393.630000000001</v>
      </c>
      <c r="D5">
        <f>SUMIFS(Dataset!$E$2:$E$201,Dataset!$C$2:$C$201,$A5,Dataset!$D$2:$D$201,D$1)</f>
        <v>11989.070000000003</v>
      </c>
      <c r="E5">
        <f>SUMIFS(Dataset!$E$2:$E$201,Dataset!$C$2:$C$201,$A5,Dataset!$D$2:$D$201,E$1)</f>
        <v>7982.73</v>
      </c>
      <c r="F5">
        <f>SUMIFS(Dataset!$E$2:$E$201,Dataset!$C$2:$C$201,$A5,Dataset!$D$2:$D$201,F$1)</f>
        <v>2295.3199999999997</v>
      </c>
      <c r="G5">
        <f>SUM(B5:F5)</f>
        <v>40248.79</v>
      </c>
      <c r="H5">
        <f>SUMIF(Dataset!$C$2:$C$201,A5,Dataset!$I$2:$I$201)</f>
        <v>13691.910000000003</v>
      </c>
      <c r="I5">
        <f>COUNTIF(Dataset!$C$2:$C$201,A5)</f>
        <v>42</v>
      </c>
    </row>
    <row r="6" spans="1:9" x14ac:dyDescent="0.25">
      <c r="A6" t="s">
        <v>11</v>
      </c>
      <c r="B6">
        <f>SUMIFS(Dataset!$E$2:$E$201,Dataset!$C$2:$C$201,$A6,Dataset!$D$2:$D$201,B$1)</f>
        <v>6691.17</v>
      </c>
      <c r="C6">
        <f>SUMIFS(Dataset!$E$2:$E$201,Dataset!$C$2:$C$201,$A6,Dataset!$D$2:$D$201,C$1)</f>
        <v>10509.429999999998</v>
      </c>
      <c r="D6">
        <f>SUMIFS(Dataset!$E$2:$E$201,Dataset!$C$2:$C$201,$A6,Dataset!$D$2:$D$201,D$1)</f>
        <v>11372.44</v>
      </c>
      <c r="E6">
        <f>SUMIFS(Dataset!$E$2:$E$201,Dataset!$C$2:$C$201,$A6,Dataset!$D$2:$D$201,E$1)</f>
        <v>9182.7800000000007</v>
      </c>
      <c r="F6">
        <f>SUMIFS(Dataset!$E$2:$E$201,Dataset!$C$2:$C$201,$A6,Dataset!$D$2:$D$201,F$1)</f>
        <v>6327.76</v>
      </c>
      <c r="G6">
        <f>SUM(B6:F6)</f>
        <v>44083.58</v>
      </c>
      <c r="H6">
        <f>SUMIF(Dataset!$C$2:$C$201,A6,Dataset!$I$2:$I$201)</f>
        <v>14985.830000000002</v>
      </c>
      <c r="I6">
        <f>COUNTIF(Dataset!$C$2:$C$201,A6)</f>
        <v>43</v>
      </c>
    </row>
    <row r="7" spans="1:9" x14ac:dyDescent="0.25">
      <c r="A7" s="13" t="s">
        <v>161</v>
      </c>
      <c r="B7" s="13">
        <f t="shared" ref="B7:I7" si="0">SUM(B2:B6)</f>
        <v>47002.460000000006</v>
      </c>
      <c r="C7" s="13">
        <f t="shared" si="0"/>
        <v>41927.589999999997</v>
      </c>
      <c r="D7" s="13">
        <f t="shared" si="0"/>
        <v>41044</v>
      </c>
      <c r="E7" s="13">
        <f t="shared" si="0"/>
        <v>36612.89</v>
      </c>
      <c r="F7" s="13">
        <f t="shared" si="0"/>
        <v>28630.82</v>
      </c>
      <c r="G7" s="13">
        <f t="shared" si="0"/>
        <v>195217.76</v>
      </c>
      <c r="H7" s="13">
        <f t="shared" si="0"/>
        <v>68287.010000000009</v>
      </c>
      <c r="I7" s="13">
        <f t="shared" si="0"/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" customWidth="1"/>
    <col min="2" max="2" width="24" customWidth="1"/>
    <col min="3" max="3" width="54" customWidth="1"/>
    <col min="4" max="15" width="16" customWidth="1"/>
  </cols>
  <sheetData>
    <row r="1" spans="1:3" ht="30" customHeight="1" x14ac:dyDescent="0.25">
      <c r="A1" s="8" t="s">
        <v>162</v>
      </c>
      <c r="B1" s="8" t="s">
        <v>90</v>
      </c>
      <c r="C1" s="8" t="s">
        <v>163</v>
      </c>
    </row>
    <row r="2" spans="1:3" x14ac:dyDescent="0.25">
      <c r="A2" t="s">
        <v>82</v>
      </c>
      <c r="B2">
        <f>SUM(Dataset!E2:E201)</f>
        <v>195217.75999999992</v>
      </c>
      <c r="C2" t="s">
        <v>164</v>
      </c>
    </row>
    <row r="3" spans="1:3" x14ac:dyDescent="0.25">
      <c r="A3" t="s">
        <v>83</v>
      </c>
      <c r="B3">
        <f>SUM(Dataset!I2:I201)</f>
        <v>68287.010000000009</v>
      </c>
      <c r="C3" t="s">
        <v>95</v>
      </c>
    </row>
    <row r="4" spans="1:3" x14ac:dyDescent="0.25">
      <c r="A4" t="s">
        <v>165</v>
      </c>
      <c r="B4" s="9">
        <f>IFERROR(B3/B2,0)</f>
        <v>0.34979916786259629</v>
      </c>
      <c r="C4" t="s">
        <v>166</v>
      </c>
    </row>
    <row r="5" spans="1:3" x14ac:dyDescent="0.25">
      <c r="A5" t="s">
        <v>167</v>
      </c>
      <c r="B5">
        <f>COUNTA(Dataset!A2:A201)</f>
        <v>200</v>
      </c>
      <c r="C5" t="s">
        <v>168</v>
      </c>
    </row>
    <row r="6" spans="1:3" x14ac:dyDescent="0.25">
      <c r="A6" t="s">
        <v>169</v>
      </c>
      <c r="B6">
        <f>COUNTA('Customer Ranking'!A2:A31)</f>
        <v>30</v>
      </c>
      <c r="C6" t="s">
        <v>170</v>
      </c>
    </row>
    <row r="7" spans="1:3" x14ac:dyDescent="0.25">
      <c r="A7" t="s">
        <v>171</v>
      </c>
      <c r="B7" s="9">
        <f>AVERAGE(Dataset!G2:G201)</f>
        <v>9.7250000000000003E-2</v>
      </c>
      <c r="C7" t="s">
        <v>172</v>
      </c>
    </row>
    <row r="8" spans="1:3" x14ac:dyDescent="0.25">
      <c r="A8" t="s">
        <v>173</v>
      </c>
      <c r="B8" t="str">
        <f>'Customer Ranking'!A2</f>
        <v>CUST015</v>
      </c>
      <c r="C8" t="s">
        <v>174</v>
      </c>
    </row>
    <row r="9" spans="1:3" x14ac:dyDescent="0.25">
      <c r="A9" t="s">
        <v>175</v>
      </c>
      <c r="B9" t="str">
        <f>INDEX('Region Product Analysis'!A2:A6,MATCH(MAX('Region Product Analysis'!G2:G6),'Region Product Analysis'!G2:G6,0))</f>
        <v>West</v>
      </c>
      <c r="C9" t="s">
        <v>176</v>
      </c>
    </row>
    <row r="10" spans="1:3" x14ac:dyDescent="0.25">
      <c r="A10" t="s">
        <v>177</v>
      </c>
      <c r="B10" t="str">
        <f>INDEX('Region Product Analysis'!B1:F1,1,MATCH(MAX('Region Product Analysis'!B7:F7),'Region Product Analysis'!B7:F7,0))</f>
        <v>Books</v>
      </c>
      <c r="C10" t="s">
        <v>178</v>
      </c>
    </row>
    <row r="13" spans="1:3" x14ac:dyDescent="0.25">
      <c r="A13" s="14" t="s">
        <v>179</v>
      </c>
      <c r="B13" s="14" t="s">
        <v>108</v>
      </c>
      <c r="C13" s="14" t="s">
        <v>109</v>
      </c>
    </row>
    <row r="14" spans="1:3" x14ac:dyDescent="0.25">
      <c r="A14" t="s">
        <v>34</v>
      </c>
      <c r="B14">
        <f>SUMIF(Dataset!C2:C201,A14,Dataset!E2:E201)</f>
        <v>43468.33</v>
      </c>
      <c r="C14">
        <f>SUMIF(Dataset!C2:C201,A14,Dataset!I2:I201)</f>
        <v>16068.4</v>
      </c>
    </row>
    <row r="15" spans="1:3" x14ac:dyDescent="0.25">
      <c r="A15" t="s">
        <v>18</v>
      </c>
      <c r="B15">
        <f>SUMIF(Dataset!C2:C201,A15,Dataset!E2:E201)</f>
        <v>32441.64</v>
      </c>
      <c r="C15">
        <f>SUMIF(Dataset!C2:C201,A15,Dataset!I2:I201)</f>
        <v>11638.589999999997</v>
      </c>
    </row>
    <row r="16" spans="1:3" x14ac:dyDescent="0.25">
      <c r="A16" t="s">
        <v>24</v>
      </c>
      <c r="B16">
        <f>SUMIF(Dataset!C2:C201,A16,Dataset!E2:E201)</f>
        <v>34975.42</v>
      </c>
      <c r="C16">
        <f>SUMIF(Dataset!C2:C201,A16,Dataset!I2:I201)</f>
        <v>11902.279999999997</v>
      </c>
    </row>
    <row r="17" spans="1:3" x14ac:dyDescent="0.25">
      <c r="A17" t="s">
        <v>20</v>
      </c>
      <c r="B17">
        <f>SUMIF(Dataset!C2:C201,A17,Dataset!E2:E201)</f>
        <v>40248.79</v>
      </c>
      <c r="C17">
        <f>SUMIF(Dataset!C2:C201,A17,Dataset!I2:I201)</f>
        <v>13691.910000000003</v>
      </c>
    </row>
    <row r="18" spans="1:3" x14ac:dyDescent="0.25">
      <c r="A18" t="s">
        <v>11</v>
      </c>
      <c r="B18">
        <f>SUMIF(Dataset!C2:C201,A18,Dataset!E2:E201)</f>
        <v>44083.58</v>
      </c>
      <c r="C18">
        <f>SUMIF(Dataset!C2:C201,A18,Dataset!I2:I201)</f>
        <v>14985.830000000002</v>
      </c>
    </row>
    <row r="21" spans="1:3" x14ac:dyDescent="0.25">
      <c r="A21" s="14" t="s">
        <v>180</v>
      </c>
      <c r="B21" s="14" t="s">
        <v>108</v>
      </c>
      <c r="C21" s="14" t="s">
        <v>109</v>
      </c>
    </row>
    <row r="22" spans="1:3" x14ac:dyDescent="0.25">
      <c r="A22" t="s">
        <v>12</v>
      </c>
      <c r="B22">
        <f>SUMIF(Dataset!D2:D201,A22,Dataset!E2:E201)</f>
        <v>47002.460000000006</v>
      </c>
      <c r="C22">
        <f>SUMIF(Dataset!D2:D201,A22,Dataset!I2:I201)</f>
        <v>16901.630000000005</v>
      </c>
    </row>
    <row r="23" spans="1:3" x14ac:dyDescent="0.25">
      <c r="A23" t="s">
        <v>15</v>
      </c>
      <c r="B23">
        <f>SUMIF(Dataset!D2:D201,A23,Dataset!E2:E201)</f>
        <v>41927.589999999989</v>
      </c>
      <c r="C23">
        <f>SUMIF(Dataset!D2:D201,A23,Dataset!I2:I201)</f>
        <v>18784.490000000002</v>
      </c>
    </row>
    <row r="24" spans="1:3" x14ac:dyDescent="0.25">
      <c r="A24" t="s">
        <v>21</v>
      </c>
      <c r="B24">
        <f>SUMIF(Dataset!D2:D201,A24,Dataset!E2:E201)</f>
        <v>41044.000000000007</v>
      </c>
      <c r="C24">
        <f>SUMIF(Dataset!D2:D201,A24,Dataset!I2:I201)</f>
        <v>9182.1500000000015</v>
      </c>
    </row>
    <row r="25" spans="1:3" x14ac:dyDescent="0.25">
      <c r="A25" t="s">
        <v>27</v>
      </c>
      <c r="B25">
        <f>SUMIF(Dataset!D2:D201,A25,Dataset!E2:E201)</f>
        <v>36612.89</v>
      </c>
      <c r="C25">
        <f>SUMIF(Dataset!D2:D201,A25,Dataset!I2:I201)</f>
        <v>11579.140000000003</v>
      </c>
    </row>
    <row r="26" spans="1:3" x14ac:dyDescent="0.25">
      <c r="A26" t="s">
        <v>39</v>
      </c>
      <c r="B26">
        <f>SUMIF(Dataset!D2:D201,A26,Dataset!E2:E201)</f>
        <v>28630.819999999992</v>
      </c>
      <c r="C26">
        <f>SUMIF(Dataset!D2:D201,A26,Dataset!I2:I201)</f>
        <v>11839.599999999999</v>
      </c>
    </row>
    <row r="30" spans="1:3" x14ac:dyDescent="0.25">
      <c r="A30" s="14" t="s">
        <v>181</v>
      </c>
      <c r="B30" s="14" t="s">
        <v>108</v>
      </c>
      <c r="C30" s="14" t="s">
        <v>109</v>
      </c>
    </row>
    <row r="31" spans="1:3" x14ac:dyDescent="0.25">
      <c r="A31" t="s">
        <v>144</v>
      </c>
      <c r="B31">
        <f>SUMIF(Dataset!L2:L201,A31,Dataset!E2:E201)</f>
        <v>19029.96</v>
      </c>
      <c r="C31">
        <f>SUMIF(Dataset!L2:L201,A31,Dataset!I2:I201)</f>
        <v>6244.01</v>
      </c>
    </row>
    <row r="32" spans="1:3" x14ac:dyDescent="0.25">
      <c r="A32" t="s">
        <v>145</v>
      </c>
      <c r="B32">
        <f>SUMIF(Dataset!L2:L201,A32,Dataset!E2:E201)</f>
        <v>18507.339999999997</v>
      </c>
      <c r="C32">
        <f>SUMIF(Dataset!L2:L201,A32,Dataset!I2:I201)</f>
        <v>6121.3499999999995</v>
      </c>
    </row>
    <row r="33" spans="1:3" x14ac:dyDescent="0.25">
      <c r="A33" t="s">
        <v>146</v>
      </c>
      <c r="B33">
        <f>SUMIF(Dataset!L2:L201,A33,Dataset!E2:E201)</f>
        <v>20187.509999999998</v>
      </c>
      <c r="C33">
        <f>SUMIF(Dataset!L2:L201,A33,Dataset!I2:I201)</f>
        <v>6918</v>
      </c>
    </row>
    <row r="34" spans="1:3" x14ac:dyDescent="0.25">
      <c r="A34" t="s">
        <v>147</v>
      </c>
      <c r="B34">
        <f>SUMIF(Dataset!L2:L201,A34,Dataset!E2:E201)</f>
        <v>11609.039999999999</v>
      </c>
      <c r="C34">
        <f>SUMIF(Dataset!L2:L201,A34,Dataset!I2:I201)</f>
        <v>3743.85</v>
      </c>
    </row>
    <row r="35" spans="1:3" x14ac:dyDescent="0.25">
      <c r="A35" t="s">
        <v>148</v>
      </c>
      <c r="B35">
        <f>SUMIF(Dataset!L2:L201,A35,Dataset!E2:E201)</f>
        <v>10091.699999999999</v>
      </c>
      <c r="C35">
        <f>SUMIF(Dataset!L2:L201,A35,Dataset!I2:I201)</f>
        <v>3302.84</v>
      </c>
    </row>
    <row r="36" spans="1:3" x14ac:dyDescent="0.25">
      <c r="A36" t="s">
        <v>149</v>
      </c>
      <c r="B36">
        <f>SUMIF(Dataset!L2:L201,A36,Dataset!E2:E201)</f>
        <v>20533.499999999996</v>
      </c>
      <c r="C36">
        <f>SUMIF(Dataset!L2:L201,A36,Dataset!I2:I201)</f>
        <v>7457.5199999999995</v>
      </c>
    </row>
    <row r="37" spans="1:3" x14ac:dyDescent="0.25">
      <c r="A37" t="s">
        <v>150</v>
      </c>
      <c r="B37">
        <f>SUMIF(Dataset!L2:L201,A37,Dataset!E2:E201)</f>
        <v>14215.240000000002</v>
      </c>
      <c r="C37">
        <f>SUMIF(Dataset!L2:L201,A37,Dataset!I2:I201)</f>
        <v>4861.7</v>
      </c>
    </row>
    <row r="38" spans="1:3" x14ac:dyDescent="0.25">
      <c r="A38" t="s">
        <v>151</v>
      </c>
      <c r="B38">
        <f>SUMIF(Dataset!L2:L201,A38,Dataset!E2:E201)</f>
        <v>20135.030000000002</v>
      </c>
      <c r="C38">
        <f>SUMIF(Dataset!L2:L201,A38,Dataset!I2:I201)</f>
        <v>6814.8799999999992</v>
      </c>
    </row>
    <row r="39" spans="1:3" x14ac:dyDescent="0.25">
      <c r="A39" t="s">
        <v>152</v>
      </c>
      <c r="B39">
        <f>SUMIF(Dataset!L2:L201,A39,Dataset!E2:E201)</f>
        <v>11120.04</v>
      </c>
      <c r="C39">
        <f>SUMIF(Dataset!L2:L201,A39,Dataset!I2:I201)</f>
        <v>3549.99</v>
      </c>
    </row>
    <row r="40" spans="1:3" x14ac:dyDescent="0.25">
      <c r="A40" t="s">
        <v>153</v>
      </c>
      <c r="B40">
        <f>SUMIF(Dataset!L2:L201,A40,Dataset!E2:E201)</f>
        <v>14914.650000000001</v>
      </c>
      <c r="C40">
        <f>SUMIF(Dataset!L2:L201,A40,Dataset!I2:I201)</f>
        <v>5763.4</v>
      </c>
    </row>
    <row r="41" spans="1:3" x14ac:dyDescent="0.25">
      <c r="A41" t="s">
        <v>154</v>
      </c>
      <c r="B41">
        <f>SUMIF(Dataset!L2:L201,A41,Dataset!E2:E201)</f>
        <v>14006.359999999999</v>
      </c>
      <c r="C41">
        <f>SUMIF(Dataset!L2:L201,A41,Dataset!I2:I201)</f>
        <v>5039.2299999999996</v>
      </c>
    </row>
    <row r="42" spans="1:3" x14ac:dyDescent="0.25">
      <c r="A42" t="s">
        <v>155</v>
      </c>
      <c r="B42">
        <f>SUMIF(Dataset!L2:L201,A42,Dataset!E2:E201)</f>
        <v>17655.219999999998</v>
      </c>
      <c r="C42">
        <f>SUMIF(Dataset!L2:L201,A42,Dataset!I2:I201)</f>
        <v>7071.39</v>
      </c>
    </row>
    <row r="43" spans="1:3" x14ac:dyDescent="0.25">
      <c r="A43" t="s">
        <v>156</v>
      </c>
      <c r="B43">
        <f>SUMIF(Dataset!L2:L201,A43,Dataset!E2:E201)</f>
        <v>3212.17</v>
      </c>
      <c r="C43">
        <f>SUMIF(Dataset!L2:L201,A43,Dataset!I2:I201)</f>
        <v>1398.85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4" customWidth="1"/>
    <col min="3" max="3" width="25" customWidth="1"/>
  </cols>
  <sheetData>
    <row r="1" spans="1:3" ht="30" customHeight="1" x14ac:dyDescent="0.25">
      <c r="A1" s="8" t="s">
        <v>182</v>
      </c>
      <c r="B1" s="8" t="s">
        <v>183</v>
      </c>
      <c r="C1" s="8" t="s">
        <v>184</v>
      </c>
    </row>
    <row r="2" spans="1:3" x14ac:dyDescent="0.25">
      <c r="A2">
        <v>0</v>
      </c>
      <c r="B2">
        <v>250</v>
      </c>
      <c r="C2">
        <f>COUNTIFS(Dataset!$E$2:$E$201,"&gt;="&amp;A2,Dataset!$E$2:$E$201,"&lt;"&amp;B2)</f>
        <v>0</v>
      </c>
    </row>
    <row r="3" spans="1:3" x14ac:dyDescent="0.25">
      <c r="A3">
        <v>250</v>
      </c>
      <c r="B3">
        <v>500</v>
      </c>
      <c r="C3">
        <f>COUNTIFS(Dataset!$E$2:$E$201,"&gt;="&amp;A3,Dataset!$E$2:$E$201,"&lt;"&amp;B3)</f>
        <v>11</v>
      </c>
    </row>
    <row r="4" spans="1:3" x14ac:dyDescent="0.25">
      <c r="A4">
        <v>500</v>
      </c>
      <c r="B4">
        <v>750</v>
      </c>
      <c r="C4">
        <f>COUNTIFS(Dataset!$E$2:$E$201,"&gt;="&amp;A4,Dataset!$E$2:$E$201,"&lt;"&amp;B4)</f>
        <v>37</v>
      </c>
    </row>
    <row r="5" spans="1:3" x14ac:dyDescent="0.25">
      <c r="A5">
        <v>750</v>
      </c>
      <c r="B5">
        <v>1000</v>
      </c>
      <c r="C5">
        <f>COUNTIFS(Dataset!$E$2:$E$201,"&gt;="&amp;A5,Dataset!$E$2:$E$201,"&lt;"&amp;B5)</f>
        <v>58</v>
      </c>
    </row>
    <row r="6" spans="1:3" x14ac:dyDescent="0.25">
      <c r="A6">
        <v>1000</v>
      </c>
      <c r="B6">
        <v>1250</v>
      </c>
      <c r="C6">
        <f>COUNTIFS(Dataset!$E$2:$E$201,"&gt;="&amp;A6,Dataset!$E$2:$E$201,"&lt;"&amp;B6)</f>
        <v>60</v>
      </c>
    </row>
    <row r="7" spans="1:3" x14ac:dyDescent="0.25">
      <c r="A7">
        <v>1250</v>
      </c>
      <c r="B7">
        <v>1500</v>
      </c>
      <c r="C7">
        <f>COUNTIFS(Dataset!$E$2:$E$201,"&gt;="&amp;A7,Dataset!$E$2:$E$201,"&lt;"&amp;B7)</f>
        <v>25</v>
      </c>
    </row>
    <row r="8" spans="1:3" x14ac:dyDescent="0.25">
      <c r="A8">
        <v>1500</v>
      </c>
      <c r="B8">
        <v>1750</v>
      </c>
      <c r="C8">
        <f>COUNTIFS(Dataset!$E$2:$E$201,"&gt;="&amp;A8,Dataset!$E$2:$E$201,"&lt;"&amp;B8)</f>
        <v>8</v>
      </c>
    </row>
    <row r="9" spans="1:3" x14ac:dyDescent="0.25">
      <c r="A9">
        <v>1750</v>
      </c>
      <c r="B9">
        <v>2000</v>
      </c>
      <c r="C9">
        <f>COUNTIFS(Dataset!$E$2:$E$201,"&gt;="&amp;A9,Dataset!$E$2:$E$201,"&lt;"&amp;B9)</f>
        <v>1</v>
      </c>
    </row>
    <row r="10" spans="1:3" x14ac:dyDescent="0.25">
      <c r="A10">
        <v>2000</v>
      </c>
      <c r="B10">
        <v>2250</v>
      </c>
      <c r="C10">
        <f>COUNTIFS(Dataset!$E$2:$E$201,"&gt;="&amp;A10,Dataset!$E$2:$E$201,"&lt;"&amp;B10)</f>
        <v>0</v>
      </c>
    </row>
    <row r="11" spans="1:3" x14ac:dyDescent="0.25">
      <c r="A11">
        <v>2250</v>
      </c>
      <c r="B11">
        <v>2500</v>
      </c>
      <c r="C11">
        <f>COUNTIFS(Dataset!$E$2:$E$201,"&gt;="&amp;A11,Dataset!$E$2:$E$201,"&lt;"&amp;B11)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Customer Ranking</vt:lpstr>
      <vt:lpstr>What-If Analysis</vt:lpstr>
      <vt:lpstr>Descriptive Statistics</vt:lpstr>
      <vt:lpstr>Regression</vt:lpstr>
      <vt:lpstr>Monthly Trends</vt:lpstr>
      <vt:lpstr>Region Product Analysis</vt:lpstr>
      <vt:lpstr>Executive Dashboard</vt:lpstr>
      <vt:lpstr>Sales 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minaxi</dc:creator>
  <cp:lastModifiedBy>Minaxi Choudhary</cp:lastModifiedBy>
  <dcterms:created xsi:type="dcterms:W3CDTF">2026-10-29T07:18:39Z</dcterms:created>
  <dcterms:modified xsi:type="dcterms:W3CDTF">2026-10-29T07:22:11Z</dcterms:modified>
</cp:coreProperties>
</file>